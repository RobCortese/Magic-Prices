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ert's PC\Downloads\"/>
    </mc:Choice>
  </mc:AlternateContent>
  <xr:revisionPtr revIDLastSave="0" documentId="13_ncr:1_{FB9C5E27-D52A-44AC-A265-B53199FAB2DE}" xr6:coauthVersionLast="40" xr6:coauthVersionMax="40" xr10:uidLastSave="{00000000-0000-0000-0000-000000000000}"/>
  <bookViews>
    <workbookView xWindow="1275" yWindow="465" windowWidth="18480" windowHeight="17535" xr2:uid="{00000000-000D-0000-FFFF-FFFF00000000}"/>
  </bookViews>
  <sheets>
    <sheet name=" Non-Foil" sheetId="1" r:id="rId1"/>
    <sheet name="Sets" sheetId="5" r:id="rId2"/>
  </sheets>
  <definedNames>
    <definedName name="_92523" localSheetId="0">' Non-Foil'!#REF!</definedName>
    <definedName name="Name">#REF!</definedName>
    <definedName name="Price">#REF!</definedName>
    <definedName name="search.php?substring_brimaz_2C_king_of_oreskos_t_all_All_start_date_2010_01_29_end_date_2012_04_22_order_1_finish_limit_25_action_Show_2BDecks_card_qty_5B1_5D_1" localSheetId="0">' Non-Foil'!#REF!</definedName>
    <definedName name="search?query_brimaz_section_store_x_0_y_0" localSheetId="0">' Non-Foil'!#REF!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" i="1" l="1"/>
  <c r="I65" i="1"/>
  <c r="I56" i="1" l="1"/>
  <c r="I57" i="1"/>
  <c r="I58" i="1"/>
  <c r="I59" i="1"/>
  <c r="I60" i="1"/>
  <c r="I61" i="1"/>
  <c r="I62" i="1"/>
  <c r="I63" i="1"/>
  <c r="G56" i="1"/>
  <c r="G57" i="1"/>
  <c r="G58" i="1"/>
  <c r="G59" i="1"/>
  <c r="G60" i="1"/>
  <c r="G61" i="1"/>
  <c r="G62" i="1"/>
  <c r="G6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G4" i="1"/>
  <c r="J4" i="1" s="1"/>
  <c r="G5" i="1"/>
  <c r="J5" i="1" s="1"/>
  <c r="G6" i="1"/>
  <c r="J6" i="1" s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3" i="1"/>
  <c r="E3" i="1"/>
  <c r="J63" i="1" l="1"/>
  <c r="J59" i="1"/>
  <c r="J62" i="1"/>
  <c r="J58" i="1"/>
  <c r="J61" i="1"/>
  <c r="J57" i="1"/>
  <c r="J60" i="1"/>
  <c r="J56" i="1"/>
  <c r="J3" i="1"/>
  <c r="I49" i="1" l="1"/>
  <c r="I50" i="1"/>
  <c r="I51" i="1"/>
  <c r="I52" i="1"/>
  <c r="I53" i="1"/>
  <c r="I54" i="1"/>
  <c r="I55" i="1"/>
  <c r="I12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9" i="1"/>
  <c r="I22" i="1"/>
  <c r="I15" i="1"/>
  <c r="I27" i="1"/>
  <c r="I6" i="1"/>
  <c r="I21" i="1"/>
  <c r="I25" i="1"/>
  <c r="I13" i="1"/>
  <c r="I11" i="1"/>
  <c r="I4" i="1"/>
  <c r="I16" i="1"/>
  <c r="I17" i="1"/>
  <c r="I18" i="1"/>
  <c r="I5" i="1"/>
  <c r="I7" i="1"/>
  <c r="I23" i="1"/>
  <c r="I20" i="1"/>
  <c r="I28" i="1"/>
  <c r="I29" i="1"/>
  <c r="I19" i="1"/>
  <c r="I3" i="1"/>
  <c r="I24" i="1"/>
  <c r="I30" i="1"/>
  <c r="I10" i="1"/>
  <c r="I14" i="1"/>
  <c r="I26" i="1"/>
  <c r="I8" i="1"/>
</calcChain>
</file>

<file path=xl/sharedStrings.xml><?xml version="1.0" encoding="utf-8"?>
<sst xmlns="http://schemas.openxmlformats.org/spreadsheetml/2006/main" count="460" uniqueCount="339">
  <si>
    <t>Journey Into Nyx</t>
  </si>
  <si>
    <t>Born of the Gods</t>
  </si>
  <si>
    <t>Theros</t>
  </si>
  <si>
    <t>Gatecrash</t>
  </si>
  <si>
    <t>Return to Ravnica</t>
  </si>
  <si>
    <t>Price</t>
  </si>
  <si>
    <t>Card Name</t>
  </si>
  <si>
    <t>Foil</t>
  </si>
  <si>
    <t>F</t>
  </si>
  <si>
    <t>Monstery Swiftspear</t>
  </si>
  <si>
    <t>NF</t>
  </si>
  <si>
    <t>Xenagos, the Reveler</t>
  </si>
  <si>
    <t>Godsend</t>
  </si>
  <si>
    <t>Elspeth, Sun's Champion</t>
  </si>
  <si>
    <t>Stormbreath Dragon</t>
  </si>
  <si>
    <t>Keranos, God of Storms</t>
  </si>
  <si>
    <t>Pharika, God of Afflication</t>
  </si>
  <si>
    <t>Boros Reckoner</t>
  </si>
  <si>
    <t>Phenax, God of Deception</t>
  </si>
  <si>
    <t>Goblin Rabblemaster</t>
  </si>
  <si>
    <t>Chromatic Lantern</t>
  </si>
  <si>
    <t>Temple of Malady</t>
  </si>
  <si>
    <t>Quantity</t>
  </si>
  <si>
    <t>Temple of Triumph</t>
  </si>
  <si>
    <t>Temple of Malice</t>
  </si>
  <si>
    <t>Temple of Plenty</t>
  </si>
  <si>
    <t>Temple of Enlightenment</t>
  </si>
  <si>
    <t>Mana Confluence</t>
  </si>
  <si>
    <t>Temple of Epiphany</t>
  </si>
  <si>
    <t>Temple of Mystery</t>
  </si>
  <si>
    <t>Yavimaya Coast</t>
  </si>
  <si>
    <t>Caves of Koilos</t>
  </si>
  <si>
    <t>Bloodstain Mire</t>
  </si>
  <si>
    <t>Wooded Foothills</t>
  </si>
  <si>
    <t>Polluted Delta</t>
  </si>
  <si>
    <t>See the Unwritten</t>
  </si>
  <si>
    <t>Chromanticore</t>
  </si>
  <si>
    <t>Rattleclaw Mystic</t>
  </si>
  <si>
    <t>Hero's Downfall</t>
  </si>
  <si>
    <t>Kolaghan's Command</t>
  </si>
  <si>
    <t>Temple of Abandon</t>
  </si>
  <si>
    <t>Hero of Iroas</t>
  </si>
  <si>
    <t>Jace, the Living Guildpact</t>
  </si>
  <si>
    <t>Dragon Whisperer</t>
  </si>
  <si>
    <t>Yisan, the Wanderer Bard</t>
  </si>
  <si>
    <t>Hornet Nest</t>
  </si>
  <si>
    <t>Total Value</t>
  </si>
  <si>
    <t>Value:</t>
  </si>
  <si>
    <t>Wilt-Leaf Liege</t>
  </si>
  <si>
    <t>Expedition Map</t>
  </si>
  <si>
    <t>Wildfire</t>
  </si>
  <si>
    <t>Tarmogoyf</t>
  </si>
  <si>
    <t>Karn Liberated</t>
  </si>
  <si>
    <t>Cryptic Command</t>
  </si>
  <si>
    <t>Remand</t>
  </si>
  <si>
    <t>Noble Hierarch</t>
  </si>
  <si>
    <t>Chandra, Roaring Flame</t>
  </si>
  <si>
    <t>Hangarback Walker</t>
  </si>
  <si>
    <t>Deathrite Shaman</t>
  </si>
  <si>
    <t>Ensoul Artifact</t>
  </si>
  <si>
    <t>Canopy Vista</t>
  </si>
  <si>
    <t>Battle for Zendikar</t>
  </si>
  <si>
    <t>Sunken Hollow</t>
  </si>
  <si>
    <t>Smoldering Marsh</t>
  </si>
  <si>
    <t>Prarie Stream</t>
  </si>
  <si>
    <t>Bring to Light</t>
  </si>
  <si>
    <t>Undergrowth Champion</t>
  </si>
  <si>
    <t>Greenwarden of Murasa</t>
  </si>
  <si>
    <t>Ulamog, the Ceaseless Hunger</t>
  </si>
  <si>
    <t>Kiora, Master of the Depths</t>
  </si>
  <si>
    <t>Liliana, Heretical Healer</t>
  </si>
  <si>
    <t>Set</t>
  </si>
  <si>
    <t>Blade of Selves</t>
  </si>
  <si>
    <t>Emrakul, the Promised End</t>
  </si>
  <si>
    <t>Eldritch Moon</t>
  </si>
  <si>
    <t>Modern Masters (2015 Edition)</t>
  </si>
  <si>
    <t>10th Edition</t>
  </si>
  <si>
    <t>3rd Edition</t>
  </si>
  <si>
    <t>4th Edition</t>
  </si>
  <si>
    <t>Modern Masters (2013 Edition)</t>
  </si>
  <si>
    <t>Modern Masters (2017 Edition)</t>
  </si>
  <si>
    <t>Morningtide</t>
  </si>
  <si>
    <t>Mythic Edition</t>
  </si>
  <si>
    <t>Nemesis</t>
  </si>
  <si>
    <t>New Phyrexia</t>
  </si>
  <si>
    <t>Oath of the Gatewatch</t>
  </si>
  <si>
    <t>Odyssey</t>
  </si>
  <si>
    <t>NF/F</t>
  </si>
  <si>
    <t>Set Code</t>
  </si>
  <si>
    <t>http://www.starcitygames.com/results?name=Tarmogoyf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</si>
  <si>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5th Edition</t>
  </si>
  <si>
    <t>6th Edition</t>
  </si>
  <si>
    <t>7th Edition</t>
  </si>
  <si>
    <t>8th Edition</t>
  </si>
  <si>
    <t>9th Edition</t>
  </si>
  <si>
    <t>Aether Revolt</t>
  </si>
  <si>
    <t>Alara Reborn</t>
  </si>
  <si>
    <t>Alliances</t>
  </si>
  <si>
    <t>Alpha</t>
  </si>
  <si>
    <t>Alternate 4th Edition</t>
  </si>
  <si>
    <t>Amonkhet</t>
  </si>
  <si>
    <t>Anthologies</t>
  </si>
  <si>
    <t>Antiquities</t>
  </si>
  <si>
    <t>Apocalypse</t>
  </si>
  <si>
    <t>Arabian Nights</t>
  </si>
  <si>
    <t>Archenemy (2010 Edition)</t>
  </si>
  <si>
    <t>Archenemy Schemes (2010 Edition)</t>
  </si>
  <si>
    <t>//*[@id="content"]/table[2]/tbody/tr/td/table/tbody/tr/td/div/div[2]/div[2]/span[1]/div[1]</t>
  </si>
  <si>
    <t>Archenemy Schemes</t>
  </si>
  <si>
    <t>Archenemy: Nicol Bolas</t>
  </si>
  <si>
    <t>Avacyn Restored</t>
  </si>
  <si>
    <t>Battle Royale</t>
  </si>
  <si>
    <t>Battlebond</t>
  </si>
  <si>
    <t>Beatdown</t>
  </si>
  <si>
    <t>Beta</t>
  </si>
  <si>
    <t>Betrayers of Kamigawa</t>
  </si>
  <si>
    <t>Champions of Kamigawa</t>
  </si>
  <si>
    <t>Chronicles</t>
  </si>
  <si>
    <t>Coldsnap</t>
  </si>
  <si>
    <t>Coldsnap Theme Deck Reprints</t>
  </si>
  <si>
    <t>Collectors' Edition</t>
  </si>
  <si>
    <t>Commander (2011 Edition)</t>
  </si>
  <si>
    <t>Commander (2013 Edition)</t>
  </si>
  <si>
    <t>Commander (2014 Edition)</t>
  </si>
  <si>
    <t>Commander (2015 Edition)</t>
  </si>
  <si>
    <t>Commander (2016 Edition)</t>
  </si>
  <si>
    <t>Commander (2017 Edition)</t>
  </si>
  <si>
    <t>Commander (2018 Edition)</t>
  </si>
  <si>
    <t>Commander Anthology</t>
  </si>
  <si>
    <t>Commander Anthology Volume II</t>
  </si>
  <si>
    <t>Commander Oversized (Foil)</t>
  </si>
  <si>
    <t>Commander's Arsenal (Foil)</t>
  </si>
  <si>
    <t>Conflux</t>
  </si>
  <si>
    <t>Conspiracy (2014 Edition)</t>
  </si>
  <si>
    <t>Conspiracy: Take the Crown</t>
  </si>
  <si>
    <t>Core Set 2019</t>
  </si>
  <si>
    <t>Dark Ascension</t>
  </si>
  <si>
    <t>Darksteel</t>
  </si>
  <si>
    <t>Deckmasters</t>
  </si>
  <si>
    <t>Dissension</t>
  </si>
  <si>
    <t>Dominaria</t>
  </si>
  <si>
    <t>Dragon's Maze</t>
  </si>
  <si>
    <t>Dragons of Tarkir</t>
  </si>
  <si>
    <t>Duel Decks: Ajani vs. Nicol Bolas</t>
  </si>
  <si>
    <t>Duel Decks: Anthology</t>
  </si>
  <si>
    <t>Duel Decks: Blessed vs. Cursed</t>
  </si>
  <si>
    <t>Duel Decks: Divine vs. Demonic</t>
  </si>
  <si>
    <t>Duel Decks: Elspeth vs. Kiora</t>
  </si>
  <si>
    <t>Duel Decks: Elspeth vs. Tezzeret</t>
  </si>
  <si>
    <t>Duel Decks: Elves vs. Goblins</t>
  </si>
  <si>
    <t>Duel Decks: Elves vs. Inventors</t>
  </si>
  <si>
    <t>Duel Decks: Garruk vs. Liliana</t>
  </si>
  <si>
    <t>Duel Decks: Heroes vs. Monsters</t>
  </si>
  <si>
    <t>Duel Decks: Izzet vs. Golgari</t>
  </si>
  <si>
    <t>Duel Decks: Jace vs. Chandra</t>
  </si>
  <si>
    <t>Duel Decks: Jace vs. Vraska</t>
  </si>
  <si>
    <t>Duel Decks: Knights vs. Dragons</t>
  </si>
  <si>
    <t>Duel Decks: Merfolk vs. Goblins</t>
  </si>
  <si>
    <t>Duel Decks: Mind vs. Might</t>
  </si>
  <si>
    <t>Duel Decks: Nissa vs. Ob Nixilis</t>
  </si>
  <si>
    <t>Duel Decks: Phyrexia vs. The Coalition</t>
  </si>
  <si>
    <t>Duel Decks: Sorin vs. Tibalt</t>
  </si>
  <si>
    <t>Duel Decks: Speed vs. Cunning</t>
  </si>
  <si>
    <t>Duel Decks: Venser vs. Koth</t>
  </si>
  <si>
    <t>Duel Decks: Zendikar vs. Eldrazi</t>
  </si>
  <si>
    <t>Duels of the Planeswalkers</t>
  </si>
  <si>
    <t>Eternal Masters</t>
  </si>
  <si>
    <t>Eventide</t>
  </si>
  <si>
    <t>Exodus</t>
  </si>
  <si>
    <t>Explorers of Ixalan</t>
  </si>
  <si>
    <t>Fallen Empires</t>
  </si>
  <si>
    <t>Fate Reforged</t>
  </si>
  <si>
    <t>Fifth Dawn</t>
  </si>
  <si>
    <t>From the Vault: Annihilation (Foil)</t>
  </si>
  <si>
    <t>From the Vault: Dragons (Foil)</t>
  </si>
  <si>
    <t>From the Vault: Angels (Foil)</t>
  </si>
  <si>
    <t>From the Vault: Exiled (Foil)</t>
  </si>
  <si>
    <t>From the Vault: Legends (Foil)</t>
  </si>
  <si>
    <t>From the Vault: Lore (Foil)</t>
  </si>
  <si>
    <t>From the Vault: Realms (Foil)</t>
  </si>
  <si>
    <t>From the Vault: Relics (Foil)</t>
  </si>
  <si>
    <t>From the Vault: Transform (Foil)</t>
  </si>
  <si>
    <t>From the Vault: Twenty (Foil)</t>
  </si>
  <si>
    <t>Future Sight</t>
  </si>
  <si>
    <t>Game Night</t>
  </si>
  <si>
    <t>Global Series: Jiang Yanggu &amp; Mu Yanling</t>
  </si>
  <si>
    <t>Guild Kit</t>
  </si>
  <si>
    <t>Guildpact</t>
  </si>
  <si>
    <t>Guilds of Ravnica</t>
  </si>
  <si>
    <t>Homelands</t>
  </si>
  <si>
    <t>Hour of Devastation</t>
  </si>
  <si>
    <t>Ice Age</t>
  </si>
  <si>
    <t>Iconic Masters</t>
  </si>
  <si>
    <t>Innistrad</t>
  </si>
  <si>
    <t>International Edition</t>
  </si>
  <si>
    <t>Invasion</t>
  </si>
  <si>
    <t>Ixalan</t>
  </si>
  <si>
    <t>Journey into Nyx</t>
  </si>
  <si>
    <t>Judgment</t>
  </si>
  <si>
    <t>Kaladesh</t>
  </si>
  <si>
    <t>Khans of Tarkir</t>
  </si>
  <si>
    <t>Legends</t>
  </si>
  <si>
    <t>Legions</t>
  </si>
  <si>
    <t>Lorwyn</t>
  </si>
  <si>
    <t>Magic 2010 Core Set</t>
  </si>
  <si>
    <t>Magic 2012 Core Set</t>
  </si>
  <si>
    <t>Magic 2013 Core Set</t>
  </si>
  <si>
    <t>Magic 2014 Core Set</t>
  </si>
  <si>
    <t>Magic 2015 Core Set</t>
  </si>
  <si>
    <t>Magic Origins</t>
  </si>
  <si>
    <t>Masterpiece Series: Amonkhet Invocations (Foil)</t>
  </si>
  <si>
    <t>Masterpiece Series: Kaladesh Inventions (Foil)</t>
  </si>
  <si>
    <t>Masterpiece Series: Zendikar Expeditions (Foil)</t>
  </si>
  <si>
    <t>Masters 25</t>
  </si>
  <si>
    <t>Mercadian Masques</t>
  </si>
  <si>
    <t>Mirage</t>
  </si>
  <si>
    <t>Mirrodin</t>
  </si>
  <si>
    <t>Mirrodin Besieged</t>
  </si>
  <si>
    <t>Modern Event Deck</t>
  </si>
  <si>
    <t>Onslaught</t>
  </si>
  <si>
    <t>Planar Chaos</t>
  </si>
  <si>
    <t>Planechase (2009 Edition)</t>
  </si>
  <si>
    <t>Planechase (2012 Edition)</t>
  </si>
  <si>
    <t>Planechase Anthology</t>
  </si>
  <si>
    <t>Planechase Anthology Planes</t>
  </si>
  <si>
    <t>Planechase Planes (2009 Edition)</t>
  </si>
  <si>
    <t>Planechase Planes (2012 Edition)</t>
  </si>
  <si>
    <t>Planeshift</t>
  </si>
  <si>
    <t>Portal</t>
  </si>
  <si>
    <t>Portal: Second Age</t>
  </si>
  <si>
    <t>Portal: Three Kingdoms</t>
  </si>
  <si>
    <t>Premium Deck Series: Fire &amp; Lightning (Foil)</t>
  </si>
  <si>
    <t>Premium Deck Series: Graveborn (Foil)</t>
  </si>
  <si>
    <t>Premium Deck Series: Slivers (Foil)</t>
  </si>
  <si>
    <t>Pro Player Cards</t>
  </si>
  <si>
    <t>Promotional Cards (Non-Foil)</t>
  </si>
  <si>
    <t>Promotional Cards: Non-Release (Foil)</t>
  </si>
  <si>
    <t>Promotional Cards: Oversized</t>
  </si>
  <si>
    <t>Promotional Cards: Prerelease &amp; Launch (Foil)</t>
  </si>
  <si>
    <t>Prophecy</t>
  </si>
  <si>
    <t>Ravnica Allegiance</t>
  </si>
  <si>
    <t>Ravnica: City of Guilds</t>
  </si>
  <si>
    <t>Renaissance</t>
  </si>
  <si>
    <t>Rise of the Eldrazi</t>
  </si>
  <si>
    <t>Rivals of Ixalan</t>
  </si>
  <si>
    <t>Saviors of Kamigawa</t>
  </si>
  <si>
    <t>Scars of Mirrodin</t>
  </si>
  <si>
    <t>Scourge</t>
  </si>
  <si>
    <t>Shadowmoor</t>
  </si>
  <si>
    <t>Shadows over Innistrad</t>
  </si>
  <si>
    <t>Shards of Alara</t>
  </si>
  <si>
    <t>Signature Spellbook: Jace</t>
  </si>
  <si>
    <t>Starter 1999</t>
  </si>
  <si>
    <t>Starter 2000</t>
  </si>
  <si>
    <t>Stronghold</t>
  </si>
  <si>
    <t>Summer Magic</t>
  </si>
  <si>
    <t>Tempest</t>
  </si>
  <si>
    <t>The Dark</t>
  </si>
  <si>
    <t>The Hero's Path</t>
  </si>
  <si>
    <t>Time Spiral</t>
  </si>
  <si>
    <t>Torment</t>
  </si>
  <si>
    <t>Ultimate Masters</t>
  </si>
  <si>
    <t>Ultimate Masters: Box Toppers (Foil)</t>
  </si>
  <si>
    <t>Unglued</t>
  </si>
  <si>
    <t>Unhinged</t>
  </si>
  <si>
    <t>Unlimited</t>
  </si>
  <si>
    <t>Unstable</t>
  </si>
  <si>
    <t>Urza's Destiny</t>
  </si>
  <si>
    <t>Urza's Legacy</t>
  </si>
  <si>
    <t>Urza's Saga</t>
  </si>
  <si>
    <t>Vanguard (Oversized)</t>
  </si>
  <si>
    <t>Visions</t>
  </si>
  <si>
    <t>Weatherlight</t>
  </si>
  <si>
    <t>Welcome Deck 2016</t>
  </si>
  <si>
    <t>Welcome Deck 2017</t>
  </si>
  <si>
    <t>World Championship</t>
  </si>
  <si>
    <t>Worldwake</t>
  </si>
  <si>
    <t>Zendikar</t>
  </si>
  <si>
    <t>http://www.starcitygames.com/results?name=Polluted%20Delta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</si>
  <si>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Karn%20Liberated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</si>
  <si>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Noble%20Hierarch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</si>
  <si>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Cryptic%20Command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</si>
  <si>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Wooded%20Foothills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</si>
  <si>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Bloodstain%20Mire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</si>
  <si>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Ulamog%2C%20the%20Ceaseless%20Hunger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</si>
  <si>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Hangarback%20Walker&amp;namematch=AND&amp;text=&amp;oracle=1&amp;textmatch=AND&amp;c_all=All&amp;multicolor=&amp;colormatch=OR&amp;colorexclude=1&amp;card_type_match=OR&amp;crittermatch=OR&amp;r_all=All&amp;s%5B%5D=5306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</si>
  <si>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Blade%20of%20Selves&amp;namematch=AND&amp;text=&amp;oracle=1&amp;textmatch=AND&amp;c_all=All&amp;multicolor=&amp;colormatch=OR&amp;colorexclude=1&amp;card_type_match=OR&amp;crittermatch=OR&amp;r_all=All&amp;s%5B%5D=5313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</si>
  <si>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Goblin%20Rabblemaster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</si>
  <si>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Undergrowth%20Champion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</si>
  <si>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Chandra%2C%20Roaring%20Flame&amp;namematch=AND&amp;text=&amp;oracle=1&amp;textmatch=AND&amp;c_all=All&amp;multicolor=&amp;colormatch=OR&amp;colorexclude=1&amp;card_type_match=OR&amp;crittermatch=OR&amp;r_all=All&amp;s%5B%5D=5306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</si>
  <si>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Keranos%2C%20God%20of%20Storms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</si>
  <si>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Kiora%2C%20Master%20of%20the%20Depths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</si>
  <si>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Mana%20Confluence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</si>
  <si>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Sunken%20Hollow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</si>
  <si>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Remand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</si>
  <si>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Deathrite%20Shaman&amp;namematch=AND&amp;text=&amp;oracle=1&amp;textmatch=AND&amp;c_all=All&amp;multicolor=&amp;colormatch=OR&amp;colorexclude=1&amp;card_type_match=OR&amp;crittermatch=OR&amp;r_all=All&amp;s%5B%5D=5243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</si>
  <si>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Canopy%20Vista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</si>
  <si>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Prarie%20Stream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</si>
  <si>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Temple%20of%20Enlightenment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</si>
  <si>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Elspeth%2C%20Sun%27s%20Champion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</si>
  <si>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Wilt-Leaf%20Liege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</si>
  <si>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Chromatic%20Lantern&amp;namematch=AND&amp;text=&amp;oracle=1&amp;textmatch=AND&amp;c_all=All&amp;multicolor=&amp;colormatch=OR&amp;colorexclude=1&amp;card_type_match=OR&amp;crittermatch=OR&amp;r_all=All&amp;s%5B%5D=5243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</si>
  <si>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Smoldering%20Marsh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</si>
  <si>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Stormbreath%20Dragon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</si>
  <si>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Temple%20of%20Epiphany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</si>
  <si>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Ensoul%20Artifact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</si>
  <si>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Kolaghan%27s%20Command&amp;namematch=AND&amp;text=&amp;oracle=1&amp;textmatch=AND&amp;c_all=All&amp;multicolor=&amp;colormatch=OR&amp;colorexclude=1&amp;card_type_match=OR&amp;crittermatch=OR&amp;r_all=All&amp;s%5B%5D=5302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</si>
  <si>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Xenagos%2C%20the%20Reveler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</si>
  <si>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Pharika%2C%20God%20of%20Afflication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</si>
  <si>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Godsend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</si>
  <si>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Temple%20of%20Malady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</si>
  <si>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Bring%20to%20Light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</si>
  <si>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Phenax%2C%20God%20of%20Deception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</si>
  <si>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Hero%27s%20Downfall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</si>
  <si>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Yavimaya%20Coast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</si>
  <si>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Greenwarden%20of%20Murasa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</si>
  <si>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Temple%20of%20Plenty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</si>
  <si>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Boros%20Reckoner&amp;namematch=AND&amp;text=&amp;oracle=1&amp;textmatch=AND&amp;c_all=All&amp;multicolor=&amp;colormatch=OR&amp;colorexclude=1&amp;card_type_match=OR&amp;crittermatch=OR&amp;r_all=All&amp;s%5B%5D=5249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</si>
  <si>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Hornet%20Nest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</si>
  <si>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See%20the%20Unwritten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</si>
  <si>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Temple%20of%20Triumph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</si>
  <si>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Jace%2C%20the%20Living%20Guildpact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</si>
  <si>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Temple%20of%20Malice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</si>
  <si>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Rattleclaw%20Mystic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</si>
  <si>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Dragon%20Whisperer&amp;namematch=AND&amp;text=&amp;oracle=1&amp;textmatch=AND&amp;c_all=All&amp;multicolor=&amp;colormatch=OR&amp;colorexclude=1&amp;card_type_match=OR&amp;crittermatch=OR&amp;r_all=All&amp;s%5B%5D=5302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</si>
  <si>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Caves%20of%20Koilos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</si>
  <si>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Chromanticore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</si>
  <si>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Expedition%20Map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</si>
  <si>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Temple%20of%20Abandon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</si>
  <si>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Temple%20of%20Mystery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</si>
  <si>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Liliana%2C%20Heretical%20Healer&amp;namematch=AND&amp;text=&amp;oracle=1&amp;textmatch=AND&amp;c_all=All&amp;multicolor=&amp;colormatch=OR&amp;colorexclude=1&amp;card_type_match=OR&amp;crittermatch=OR&amp;r_all=All&amp;s%5B%5D=5306&amp;foil=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</si>
  <si>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Sunken%20Hollow&amp;namematch=AND&amp;text=&amp;oracle=1&amp;textmatch=AND&amp;c_all=All&amp;multicolor=&amp;colormatch=OR&amp;colorexclude=1&amp;card_type_match=OR&amp;crittermatch=OR&amp;r_all=All&amp;s%5B%5D=5308&amp;foil=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</si>
  <si>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Monstery%20Swiftspear&amp;namematch=AND&amp;text=&amp;oracle=1&amp;textmatch=AND&amp;c_all=All&amp;multicolor=&amp;colormatch=OR&amp;colorexclude=1&amp;card_type_match=OR&amp;crittermatch=OR&amp;r_all=All&amp;s%5B%5D=5291&amp;foil=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</si>
  <si>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Hero%20of%20Iroas&amp;namematch=AND&amp;text=&amp;oracle=1&amp;textmatch=AND&amp;c_all=All&amp;multicolor=&amp;colormatch=OR&amp;colorexclude=1&amp;card_type_match=OR&amp;crittermatch=OR&amp;r_all=All&amp;s%5B%5D=5271&amp;foil=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</si>
  <si>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Expedition%20Map&amp;namematch=AND&amp;text=&amp;oracle=1&amp;textmatch=AND&amp;c_all=All&amp;multicolor=&amp;colormatch=OR&amp;colorexclude=1&amp;card_type_match=OR&amp;crittermatch=OR&amp;r_all=All&amp;s%5B%5D=5304&amp;foil=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</si>
  <si>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Emrakul%2C%20the%20Promised%20End&amp;namematch=AND&amp;text=&amp;oracle=1&amp;textmatch=AND&amp;c_all=All&amp;multicolor=&amp;colormatch=OR&amp;colorexclude=1&amp;card_type_match=OR&amp;crittermatch=OR&amp;r_all=All&amp;s%5B%5D=5336&amp;foil=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</si>
  <si>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Yisan%2C%20the%20Wanderer%20Bard&amp;namematch=AND&amp;text=&amp;oracle=1&amp;textmatch=AND&amp;c_all=All&amp;multicolor=&amp;colormatch=OR&amp;colorexclude=1&amp;card_type_match=OR&amp;crittermatch=OR&amp;r_all=All&amp;s%5B%5D=5288&amp;foil=foil&amp;g_all=All&amp;lang%5B%5D=1&amp;cmcop=%3D&amp;cmc=&amp;ccl=0&amp;ccu=99&amp;pwrop=%3D&amp;pwr=&amp;mincost=0.00&amp;maxcost=99999.99&amp;tghop=%3D&amp;tgh=&amp;sort1=4&amp;sort2=1&amp;sort3=10&amp;sort4=0&amp;display=1&amp;numpage=25</t>
  </si>
  <si>
    <t>http://www.starcitygames.com/results?name=Wildfire&amp;namematch=AND&amp;text=&amp;oracle=1&amp;textmatch=AND&amp;c_all=All&amp;multicolor=&amp;colormatch=OR&amp;colorexclude=1&amp;card_type_match=OR&amp;crittermatch=OR&amp;r_all=All&amp;s%5B%5D=5304&amp;foil=foil&amp;g_all=All&amp;lang%5B%5D=1&amp;cmcop=%3D&amp;cmc=&amp;ccl=0&amp;ccu=99&amp;pwrop=%3D&amp;pwr=&amp;mincost=0.00&amp;maxcost=99999.99&amp;tghop=%3D&amp;tgh=&amp;sort1=4&amp;sort2=1&amp;sort3=10&amp;sort4=0&amp;display=1&amp;numpage=25</t>
  </si>
  <si>
    <t>New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</si>
</sst>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2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2" fillId="0" borderId="0" xfId="13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</cellXfs>
  <cellStyles count="1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starcitygames.com/results?name=" TargetMode="External"/><Relationship Id="rId13" Type="http://schemas.openxmlformats.org/officeDocument/2006/relationships/hyperlink" Target="http://www.starcitygames.com/results?name=" TargetMode="External"/><Relationship Id="rId18" Type="http://schemas.openxmlformats.org/officeDocument/2006/relationships/hyperlink" Target="http://www.starcitygames.com/results?name=" TargetMode="External"/><Relationship Id="rId26" Type="http://schemas.openxmlformats.org/officeDocument/2006/relationships/hyperlink" Target="http://www.starcitygames.com/results?name=" TargetMode="External"/><Relationship Id="rId3" Type="http://schemas.openxmlformats.org/officeDocument/2006/relationships/hyperlink" Target="http://www.starcitygames.com/results?name=" TargetMode="External"/><Relationship Id="rId21" Type="http://schemas.openxmlformats.org/officeDocument/2006/relationships/hyperlink" Target="http://www.starcitygames.com/results?name=" TargetMode="External"/><Relationship Id="rId7" Type="http://schemas.openxmlformats.org/officeDocument/2006/relationships/hyperlink" Target="http://www.starcitygames.com/results?name=" TargetMode="External"/><Relationship Id="rId12" Type="http://schemas.openxmlformats.org/officeDocument/2006/relationships/hyperlink" Target="http://www.starcitygames.com/results?name=" TargetMode="External"/><Relationship Id="rId17" Type="http://schemas.openxmlformats.org/officeDocument/2006/relationships/hyperlink" Target="http://www.starcitygames.com/results?name=" TargetMode="External"/><Relationship Id="rId25" Type="http://schemas.openxmlformats.org/officeDocument/2006/relationships/hyperlink" Target="http://www.starcitygames.com/results?name=" TargetMode="External"/><Relationship Id="rId2" Type="http://schemas.openxmlformats.org/officeDocument/2006/relationships/hyperlink" Target="http://www.starcitygames.com/results?name=" TargetMode="External"/><Relationship Id="rId16" Type="http://schemas.openxmlformats.org/officeDocument/2006/relationships/hyperlink" Target="http://www.starcitygames.com/results?name=" TargetMode="External"/><Relationship Id="rId20" Type="http://schemas.openxmlformats.org/officeDocument/2006/relationships/hyperlink" Target="http://www.starcitygames.com/results?name=" TargetMode="External"/><Relationship Id="rId1" Type="http://schemas.openxmlformats.org/officeDocument/2006/relationships/hyperlink" Target="http://www.starcitygames.com/results?name=" TargetMode="External"/><Relationship Id="rId6" Type="http://schemas.openxmlformats.org/officeDocument/2006/relationships/hyperlink" Target="http://www.starcitygames.com/results?name=" TargetMode="External"/><Relationship Id="rId11" Type="http://schemas.openxmlformats.org/officeDocument/2006/relationships/hyperlink" Target="http://www.starcitygames.com/results?name=" TargetMode="External"/><Relationship Id="rId24" Type="http://schemas.openxmlformats.org/officeDocument/2006/relationships/hyperlink" Target="http://www.starcitygames.com/results?name=" TargetMode="External"/><Relationship Id="rId5" Type="http://schemas.openxmlformats.org/officeDocument/2006/relationships/hyperlink" Target="http://www.starcitygames.com/results?name=" TargetMode="External"/><Relationship Id="rId15" Type="http://schemas.openxmlformats.org/officeDocument/2006/relationships/hyperlink" Target="http://www.starcitygames.com/results?name=" TargetMode="External"/><Relationship Id="rId23" Type="http://schemas.openxmlformats.org/officeDocument/2006/relationships/hyperlink" Target="http://www.starcitygames.com/results?name=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http://www.starcitygames.com/results?name=" TargetMode="External"/><Relationship Id="rId19" Type="http://schemas.openxmlformats.org/officeDocument/2006/relationships/hyperlink" Target="http://www.starcitygames.com/results?name=" TargetMode="External"/><Relationship Id="rId4" Type="http://schemas.openxmlformats.org/officeDocument/2006/relationships/hyperlink" Target="http://www.starcitygames.com/results?name=" TargetMode="External"/><Relationship Id="rId9" Type="http://schemas.openxmlformats.org/officeDocument/2006/relationships/hyperlink" Target="http://www.starcitygames.com/results?name=" TargetMode="External"/><Relationship Id="rId14" Type="http://schemas.openxmlformats.org/officeDocument/2006/relationships/hyperlink" Target="http://www.starcitygames.com/results?name=" TargetMode="External"/><Relationship Id="rId22" Type="http://schemas.openxmlformats.org/officeDocument/2006/relationships/hyperlink" Target="http://www.starcitygames.com/results?name=" TargetMode="External"/><Relationship Id="rId27" Type="http://schemas.openxmlformats.org/officeDocument/2006/relationships/hyperlink" Target="http://www.starcitygames.com/results?name=Tarmogoyf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autoPageBreaks="0"/>
  </sheetPr>
  <dimension ref="B1:M637"/>
  <sheetViews>
    <sheetView tabSelected="1" zoomScaleNormal="100" workbookViewId="0">
      <selection activeCell="I1" sqref="I1"/>
    </sheetView>
  </sheetViews>
  <sheetFormatPr defaultColWidth="9" defaultRowHeight="15.75" x14ac:dyDescent="0.25"/>
  <cols>
    <col min="1" max="1" width="9" style="1"/>
    <col min="2" max="2" width="29.85546875" style="5" bestFit="1" customWidth="1"/>
    <col min="3" max="3" width="9" style="3"/>
    <col min="4" max="4" width="9" style="1" customWidth="1"/>
    <col min="5" max="5" width="9" style="1" hidden="1" customWidth="1"/>
    <col min="6" max="6" width="30.7109375" style="1" bestFit="1" customWidth="1"/>
    <col min="7" max="7" width="9.42578125" style="1" customWidth="1"/>
    <col min="8" max="8" width="9" style="1"/>
    <col min="9" max="9" width="11.140625" style="1" customWidth="1"/>
    <col min="10" max="10" width="10.28515625" style="1" hidden="1" customWidth="1"/>
    <col min="11" max="12" width="10.28515625" style="8" bestFit="1" customWidth="1"/>
    <col min="13" max="13" width="9" style="8"/>
    <col min="14" max="16384" width="9" style="1"/>
  </cols>
  <sheetData>
    <row r="1" spans="2:12" x14ac:dyDescent="0.25">
      <c r="C1" s="2"/>
      <c r="K1" s="8" t="e">
        <f>_xlfn.WEBSERVICE(K3)</f>
        <v>#VALUE!</v>
      </c>
      <c r="L1" s="8" t="s">
        <v>107</v>
      </c>
    </row>
    <row r="2" spans="2:12" x14ac:dyDescent="0.25">
      <c r="B2" s="11" t="s">
        <v>6</v>
      </c>
      <c r="C2" s="12" t="s">
        <v>5</v>
      </c>
      <c r="D2" s="13" t="s">
        <v>7</v>
      </c>
      <c r="E2" s="13" t="s">
        <v>87</v>
      </c>
      <c r="F2" s="13" t="s">
        <v>71</v>
      </c>
      <c r="G2" s="13" t="s">
        <v>88</v>
      </c>
      <c r="H2" s="13" t="s">
        <v>22</v>
      </c>
      <c r="I2" s="13" t="s">
        <v>46</v>
      </c>
      <c r="J2" s="13"/>
      <c r="K2" s="14" t="s">
        <v>338</v>
      </c>
    </row>
    <row r="3" spans="2:12" x14ac:dyDescent="0.25">
      <c r="B3" s="5" t="s">
        <v>51</v>
      </c>
      <c r="C3" s="2">
        <v>74.989999999999995</v>
      </c>
      <c r="D3" s="1" t="s">
        <v>10</v>
      </c>
      <c r="E3" s="1" t="str">
        <f>IF(D3="NF","nofoil","foil")</f>
        <v>nofoil</v>
      </c>
      <c r="F3" s="1" t="s">
        <v>75</v>
      </c>
      <c r="G3" s="1">
        <f>VLOOKUP(F3,Sets!A:B,2,FALSE)</f>
        <v>5304</v>
      </c>
      <c r="H3" s="1">
        <v>1</v>
      </c>
      <c r="I3" s="2">
        <f t="shared" ref="I3:I34" si="0">H3*C3</f>
        <v>74.989999999999995</v>
      </c>
      <c r="J3" s="7" t="str">
        <f>"http://www.starcitygames.com/results?name=" &amp; _xlfn.ENCODEURL(B3) &amp; "&amp;namematch=AND&amp;text=&amp;oracle=1&amp;textmatch=AND&amp;c_all=All&amp;multicolor=&amp;colormatch=OR&amp;colorexclude=1&amp;card_type_match=OR&amp;crittermatch=OR&amp;r_all=All&amp;s%5B%5D=" &amp; G3 &amp; "&amp;foil=" &amp; E3 &amp; "&amp;g_all=All&amp;lang%5B%5D=1&amp;cmcop=%3D&amp;cmc=&amp;ccl=0&amp;ccu=99&amp;pwrop=%3D&amp;pwr=&amp;mincost=0.00&amp;maxcost=99999.99&amp;tghop=%3D&amp;tgh=&amp;sort1=4&amp;sort2=1&amp;sort3=10&amp;sort4=0&amp;display=1&amp;numpage=25"</f>
        <v>http://www.starcitygames.com/results?name=Tarmogoyf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" s="8" t="s">
        <v>89</v>
      </c>
    </row>
    <row r="4" spans="2:12" x14ac:dyDescent="0.25">
      <c r="B4" s="5" t="s">
        <v>52</v>
      </c>
      <c r="C4" s="2">
        <v>79.989999999999995</v>
      </c>
      <c r="D4" s="1" t="s">
        <v>10</v>
      </c>
      <c r="E4" s="1" t="str">
        <f t="shared" ref="E4:E63" si="1">IF(D4="NF","nofoil","foil")</f>
        <v>nofoil</v>
      </c>
      <c r="F4" s="1" t="s">
        <v>75</v>
      </c>
      <c r="G4" s="1">
        <f>VLOOKUP(F4,Sets!A:B,2,FALSE)</f>
        <v>5304</v>
      </c>
      <c r="H4" s="1">
        <v>1</v>
      </c>
      <c r="I4" s="2">
        <f t="shared" si="0"/>
        <v>79.989999999999995</v>
      </c>
      <c r="J4" s="7" t="str">
        <f t="shared" ref="J4:K63" si="2">"http://www.starcitygames.com/results?name=" &amp; _xlfn.ENCODEURL(B4) &amp; "&amp;namematch=AND&amp;text=&amp;oracle=1&amp;textmatch=AND&amp;c_all=All&amp;multicolor=&amp;colormatch=OR&amp;colorexclude=1&amp;card_type_match=OR&amp;crittermatch=OR&amp;r_all=All&amp;s%5B%5D=" &amp; G4 &amp; "&amp;foil=" &amp; E4 &amp; "&amp;g_all=All&amp;lang%5B%5D=1&amp;cmcop=%3D&amp;cmc=&amp;ccl=0&amp;ccu=99&amp;pwrop=%3D&amp;pwr=&amp;mincost=0.00&amp;maxcost=99999.99&amp;tghop=%3D&amp;tgh=&amp;sort1=4&amp;sort2=1&amp;sort3=10&amp;sort4=0&amp;display=1&amp;numpage=25"</f>
        <v>http://www.starcitygames.com/results?name=Karn%20Liberated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" s="8" t="s">
        <v>279</v>
      </c>
    </row>
    <row r="5" spans="2:12" x14ac:dyDescent="0.25">
      <c r="B5" s="5" t="s">
        <v>55</v>
      </c>
      <c r="C5" s="2">
        <v>59.99</v>
      </c>
      <c r="D5" s="1" t="s">
        <v>10</v>
      </c>
      <c r="E5" s="1" t="str">
        <f t="shared" si="1"/>
        <v>nofoil</v>
      </c>
      <c r="F5" s="1" t="s">
        <v>75</v>
      </c>
      <c r="G5" s="1">
        <f>VLOOKUP(F5,Sets!A:B,2,FALSE)</f>
        <v>5304</v>
      </c>
      <c r="H5" s="1">
        <v>1</v>
      </c>
      <c r="I5" s="2">
        <f t="shared" si="0"/>
        <v>59.99</v>
      </c>
      <c r="J5" s="7" t="str">
        <f t="shared" si="2"/>
        <v>http://www.starcitygames.com/results?name=Noble%20Hierarch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5" s="8" t="s">
        <v>280</v>
      </c>
    </row>
    <row r="6" spans="2:12" x14ac:dyDescent="0.25">
      <c r="B6" s="5" t="s">
        <v>53</v>
      </c>
      <c r="C6" s="2">
        <v>26.95</v>
      </c>
      <c r="D6" s="1" t="s">
        <v>10</v>
      </c>
      <c r="E6" s="1" t="str">
        <f t="shared" si="1"/>
        <v>nofoil</v>
      </c>
      <c r="F6" s="1" t="s">
        <v>75</v>
      </c>
      <c r="G6" s="1">
        <f>VLOOKUP(F6,Sets!A:B,2,FALSE)</f>
        <v>5304</v>
      </c>
      <c r="H6" s="1">
        <v>1</v>
      </c>
      <c r="I6" s="2">
        <f t="shared" si="0"/>
        <v>26.95</v>
      </c>
      <c r="J6" s="7" t="str">
        <f t="shared" si="2"/>
        <v>http://www.starcitygames.com/results?name=Cryptic%20Command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6" s="8" t="s">
        <v>281</v>
      </c>
    </row>
    <row r="7" spans="2:12" x14ac:dyDescent="0.25">
      <c r="B7" s="5" t="s">
        <v>34</v>
      </c>
      <c r="C7" s="2">
        <v>17.989999999999998</v>
      </c>
      <c r="D7" s="1" t="s">
        <v>10</v>
      </c>
      <c r="E7" s="1" t="str">
        <f t="shared" si="1"/>
        <v>nofoil</v>
      </c>
      <c r="F7" s="1" t="s">
        <v>200</v>
      </c>
      <c r="G7" s="1">
        <f>VLOOKUP(F7,Sets!A:B,2,FALSE)</f>
        <v>5291</v>
      </c>
      <c r="H7" s="1">
        <v>1</v>
      </c>
      <c r="I7" s="2">
        <f t="shared" si="0"/>
        <v>17.989999999999998</v>
      </c>
      <c r="J7" s="7" t="str">
        <f t="shared" si="2"/>
        <v>http://www.starcitygames.com/results?name=Polluted%20Delta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7" s="8" t="s">
        <v>278</v>
      </c>
    </row>
    <row r="8" spans="2:12" x14ac:dyDescent="0.25">
      <c r="B8" s="5" t="s">
        <v>33</v>
      </c>
      <c r="C8" s="2">
        <v>18.48</v>
      </c>
      <c r="D8" s="1" t="s">
        <v>10</v>
      </c>
      <c r="E8" s="1" t="str">
        <f t="shared" si="1"/>
        <v>nofoil</v>
      </c>
      <c r="F8" s="1" t="s">
        <v>200</v>
      </c>
      <c r="G8" s="1">
        <f>VLOOKUP(F8,Sets!A:B,2,FALSE)</f>
        <v>5291</v>
      </c>
      <c r="H8" s="1">
        <v>1</v>
      </c>
      <c r="I8" s="2">
        <f t="shared" si="0"/>
        <v>18.48</v>
      </c>
      <c r="J8" s="7" t="str">
        <f t="shared" si="2"/>
        <v>http://www.starcitygames.com/results?name=Wooded%20Foothills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8" s="8" t="s">
        <v>282</v>
      </c>
    </row>
    <row r="9" spans="2:12" x14ac:dyDescent="0.25">
      <c r="B9" s="5" t="s">
        <v>32</v>
      </c>
      <c r="C9" s="2">
        <v>17.850000000000001</v>
      </c>
      <c r="D9" s="1" t="s">
        <v>10</v>
      </c>
      <c r="E9" s="1" t="str">
        <f t="shared" si="1"/>
        <v>nofoil</v>
      </c>
      <c r="F9" s="1" t="s">
        <v>200</v>
      </c>
      <c r="G9" s="1">
        <f>VLOOKUP(F9,Sets!A:B,2,FALSE)</f>
        <v>5291</v>
      </c>
      <c r="H9" s="1">
        <v>2</v>
      </c>
      <c r="I9" s="2">
        <f t="shared" si="0"/>
        <v>35.700000000000003</v>
      </c>
      <c r="J9" s="7" t="str">
        <f t="shared" si="2"/>
        <v>http://www.starcitygames.com/results?name=Bloodstain%20Mire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9" s="8" t="s">
        <v>283</v>
      </c>
    </row>
    <row r="10" spans="2:12" x14ac:dyDescent="0.25">
      <c r="B10" s="5" t="s">
        <v>68</v>
      </c>
      <c r="C10" s="2">
        <v>14.95</v>
      </c>
      <c r="D10" s="1" t="s">
        <v>10</v>
      </c>
      <c r="E10" s="1" t="str">
        <f t="shared" si="1"/>
        <v>nofoil</v>
      </c>
      <c r="F10" s="1" t="s">
        <v>61</v>
      </c>
      <c r="G10" s="1">
        <f>VLOOKUP(F10,Sets!A:B,2,FALSE)</f>
        <v>5308</v>
      </c>
      <c r="H10" s="1">
        <v>1</v>
      </c>
      <c r="I10" s="2">
        <f t="shared" si="0"/>
        <v>14.95</v>
      </c>
      <c r="J10" s="7" t="str">
        <f t="shared" si="2"/>
        <v>http://www.starcitygames.com/results?name=Ulamog%2C%20the%20Ceaseless%20Hunger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0" s="8" t="s">
        <v>284</v>
      </c>
    </row>
    <row r="11" spans="2:12" x14ac:dyDescent="0.25">
      <c r="B11" s="5" t="s">
        <v>57</v>
      </c>
      <c r="C11" s="2">
        <v>12.85</v>
      </c>
      <c r="D11" s="1" t="s">
        <v>10</v>
      </c>
      <c r="E11" s="1" t="str">
        <f t="shared" si="1"/>
        <v>nofoil</v>
      </c>
      <c r="F11" s="1" t="s">
        <v>209</v>
      </c>
      <c r="G11" s="1">
        <f>VLOOKUP(F11,Sets!A:B,2,FALSE)</f>
        <v>5306</v>
      </c>
      <c r="H11" s="1">
        <v>2</v>
      </c>
      <c r="I11" s="2">
        <f t="shared" si="0"/>
        <v>25.7</v>
      </c>
      <c r="J11" s="7" t="str">
        <f t="shared" si="2"/>
        <v>http://www.starcitygames.com/results?name=Hangarback%20Walker&amp;namematch=AND&amp;text=&amp;oracle=1&amp;textmatch=AND&amp;c_all=All&amp;multicolor=&amp;colormatch=OR&amp;colorexclude=1&amp;card_type_match=OR&amp;crittermatch=OR&amp;r_all=All&amp;s%5B%5D=5306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1" s="8" t="s">
        <v>285</v>
      </c>
    </row>
    <row r="12" spans="2:12" x14ac:dyDescent="0.25">
      <c r="B12" s="5" t="s">
        <v>72</v>
      </c>
      <c r="C12" s="2">
        <v>11.32</v>
      </c>
      <c r="D12" s="1" t="s">
        <v>10</v>
      </c>
      <c r="E12" s="1" t="str">
        <f t="shared" si="1"/>
        <v>nofoil</v>
      </c>
      <c r="F12" s="1" t="s">
        <v>124</v>
      </c>
      <c r="G12" s="1">
        <f>VLOOKUP(F12,Sets!A:B,2,FALSE)</f>
        <v>5313</v>
      </c>
      <c r="H12" s="1">
        <v>1</v>
      </c>
      <c r="I12" s="2">
        <f t="shared" si="0"/>
        <v>11.32</v>
      </c>
      <c r="J12" s="7" t="str">
        <f t="shared" si="2"/>
        <v>http://www.starcitygames.com/results?name=Blade%20of%20Selves&amp;namematch=AND&amp;text=&amp;oracle=1&amp;textmatch=AND&amp;c_all=All&amp;multicolor=&amp;colormatch=OR&amp;colorexclude=1&amp;card_type_match=OR&amp;crittermatch=OR&amp;r_all=All&amp;s%5B%5D=5313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2" s="8" t="s">
        <v>286</v>
      </c>
    </row>
    <row r="13" spans="2:12" x14ac:dyDescent="0.25">
      <c r="B13" s="5" t="s">
        <v>19</v>
      </c>
      <c r="C13" s="2">
        <v>9.98</v>
      </c>
      <c r="D13" s="1" t="s">
        <v>10</v>
      </c>
      <c r="E13" s="1" t="str">
        <f t="shared" si="1"/>
        <v>nofoil</v>
      </c>
      <c r="F13" s="1" t="s">
        <v>208</v>
      </c>
      <c r="G13" s="1">
        <f>VLOOKUP(F13,Sets!A:B,2,FALSE)</f>
        <v>5288</v>
      </c>
      <c r="H13" s="1">
        <v>1</v>
      </c>
      <c r="I13" s="2">
        <f t="shared" si="0"/>
        <v>9.98</v>
      </c>
      <c r="J13" s="7" t="str">
        <f t="shared" si="2"/>
        <v>http://www.starcitygames.com/results?name=Goblin%20Rabblemaster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3" s="8" t="s">
        <v>287</v>
      </c>
    </row>
    <row r="14" spans="2:12" x14ac:dyDescent="0.25">
      <c r="B14" s="5" t="s">
        <v>66</v>
      </c>
      <c r="C14" s="2">
        <v>9.1999999999999993</v>
      </c>
      <c r="D14" s="1" t="s">
        <v>10</v>
      </c>
      <c r="E14" s="1" t="str">
        <f t="shared" si="1"/>
        <v>nofoil</v>
      </c>
      <c r="F14" s="1" t="s">
        <v>61</v>
      </c>
      <c r="G14" s="1">
        <f>VLOOKUP(F14,Sets!A:B,2,FALSE)</f>
        <v>5308</v>
      </c>
      <c r="H14" s="1">
        <v>1</v>
      </c>
      <c r="I14" s="2">
        <f t="shared" si="0"/>
        <v>9.1999999999999993</v>
      </c>
      <c r="J14" s="7" t="str">
        <f t="shared" si="2"/>
        <v>http://www.starcitygames.com/results?name=Undergrowth%20Champion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4" s="8" t="s">
        <v>288</v>
      </c>
    </row>
    <row r="15" spans="2:12" x14ac:dyDescent="0.25">
      <c r="B15" s="6" t="s">
        <v>56</v>
      </c>
      <c r="C15" s="2">
        <v>8.98</v>
      </c>
      <c r="D15" s="1" t="s">
        <v>10</v>
      </c>
      <c r="E15" s="1" t="str">
        <f t="shared" si="1"/>
        <v>nofoil</v>
      </c>
      <c r="F15" s="1" t="s">
        <v>209</v>
      </c>
      <c r="G15" s="1">
        <f>VLOOKUP(F15,Sets!A:B,2,FALSE)</f>
        <v>5306</v>
      </c>
      <c r="H15" s="1">
        <v>1</v>
      </c>
      <c r="I15" s="2">
        <f t="shared" si="0"/>
        <v>8.98</v>
      </c>
      <c r="J15" s="7" t="str">
        <f t="shared" si="2"/>
        <v>http://www.starcitygames.com/results?name=Chandra%2C%20Roaring%20Flame&amp;namematch=AND&amp;text=&amp;oracle=1&amp;textmatch=AND&amp;c_all=All&amp;multicolor=&amp;colormatch=OR&amp;colorexclude=1&amp;card_type_match=OR&amp;crittermatch=OR&amp;r_all=All&amp;s%5B%5D=5306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5" s="8" t="s">
        <v>289</v>
      </c>
    </row>
    <row r="16" spans="2:12" x14ac:dyDescent="0.25">
      <c r="B16" s="5" t="s">
        <v>15</v>
      </c>
      <c r="C16" s="2">
        <v>8.5</v>
      </c>
      <c r="D16" s="1" t="s">
        <v>10</v>
      </c>
      <c r="E16" s="1" t="str">
        <f t="shared" si="1"/>
        <v>nofoil</v>
      </c>
      <c r="F16" s="1" t="s">
        <v>0</v>
      </c>
      <c r="G16" s="1">
        <f>VLOOKUP(F16,Sets!A:B,2,FALSE)</f>
        <v>5281</v>
      </c>
      <c r="H16" s="1">
        <v>1</v>
      </c>
      <c r="I16" s="2">
        <f t="shared" si="0"/>
        <v>8.5</v>
      </c>
      <c r="J16" s="7" t="str">
        <f t="shared" si="2"/>
        <v>http://www.starcitygames.com/results?name=Keranos%2C%20God%20of%20Storms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6" s="8" t="s">
        <v>290</v>
      </c>
    </row>
    <row r="17" spans="2:11" x14ac:dyDescent="0.25">
      <c r="B17" s="5" t="s">
        <v>69</v>
      </c>
      <c r="C17" s="2">
        <v>8.4499999999999993</v>
      </c>
      <c r="D17" s="1" t="s">
        <v>10</v>
      </c>
      <c r="E17" s="1" t="str">
        <f t="shared" si="1"/>
        <v>nofoil</v>
      </c>
      <c r="F17" s="1" t="s">
        <v>61</v>
      </c>
      <c r="G17" s="1">
        <f>VLOOKUP(F17,Sets!A:B,2,FALSE)</f>
        <v>5308</v>
      </c>
      <c r="H17" s="1">
        <v>1</v>
      </c>
      <c r="I17" s="2">
        <f t="shared" si="0"/>
        <v>8.4499999999999993</v>
      </c>
      <c r="J17" s="7" t="str">
        <f t="shared" si="2"/>
        <v>http://www.starcitygames.com/results?name=Kiora%2C%20Master%20of%20the%20Depths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7" s="8" t="s">
        <v>291</v>
      </c>
    </row>
    <row r="18" spans="2:11" x14ac:dyDescent="0.25">
      <c r="B18" s="5" t="s">
        <v>27</v>
      </c>
      <c r="C18" s="2">
        <v>7.95</v>
      </c>
      <c r="D18" s="1" t="s">
        <v>10</v>
      </c>
      <c r="E18" s="1" t="str">
        <f t="shared" si="1"/>
        <v>nofoil</v>
      </c>
      <c r="F18" s="1" t="s">
        <v>0</v>
      </c>
      <c r="G18" s="1">
        <f>VLOOKUP(F18,Sets!A:B,2,FALSE)</f>
        <v>5281</v>
      </c>
      <c r="H18" s="1">
        <v>3</v>
      </c>
      <c r="I18" s="2">
        <f t="shared" si="0"/>
        <v>23.85</v>
      </c>
      <c r="J18" s="7" t="str">
        <f t="shared" si="2"/>
        <v>http://www.starcitygames.com/results?name=Mana%20Confluence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8" s="8" t="s">
        <v>292</v>
      </c>
    </row>
    <row r="19" spans="2:11" x14ac:dyDescent="0.25">
      <c r="B19" s="5" t="s">
        <v>62</v>
      </c>
      <c r="C19" s="2">
        <v>7.45</v>
      </c>
      <c r="D19" s="1" t="s">
        <v>10</v>
      </c>
      <c r="E19" s="1" t="str">
        <f t="shared" si="1"/>
        <v>nofoil</v>
      </c>
      <c r="F19" s="1" t="s">
        <v>61</v>
      </c>
      <c r="G19" s="1">
        <f>VLOOKUP(F19,Sets!A:B,2,FALSE)</f>
        <v>5308</v>
      </c>
      <c r="H19" s="1">
        <v>1</v>
      </c>
      <c r="I19" s="2">
        <f t="shared" si="0"/>
        <v>7.45</v>
      </c>
      <c r="J19" s="7" t="str">
        <f t="shared" si="2"/>
        <v>http://www.starcitygames.com/results?name=Sunken%20Hollow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19" s="8" t="s">
        <v>293</v>
      </c>
    </row>
    <row r="20" spans="2:11" x14ac:dyDescent="0.25">
      <c r="B20" s="5" t="s">
        <v>54</v>
      </c>
      <c r="C20" s="2">
        <v>7.1</v>
      </c>
      <c r="D20" s="1" t="s">
        <v>10</v>
      </c>
      <c r="E20" s="1" t="str">
        <f t="shared" si="1"/>
        <v>nofoil</v>
      </c>
      <c r="F20" s="1" t="s">
        <v>75</v>
      </c>
      <c r="G20" s="1">
        <f>VLOOKUP(F20,Sets!A:B,2,FALSE)</f>
        <v>5304</v>
      </c>
      <c r="H20" s="1">
        <v>1</v>
      </c>
      <c r="I20" s="2">
        <f t="shared" si="0"/>
        <v>7.1</v>
      </c>
      <c r="J20" s="7" t="str">
        <f t="shared" si="2"/>
        <v>http://www.starcitygames.com/results?name=Remand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0" s="8" t="s">
        <v>294</v>
      </c>
    </row>
    <row r="21" spans="2:11" x14ac:dyDescent="0.25">
      <c r="B21" s="5" t="s">
        <v>58</v>
      </c>
      <c r="C21" s="2">
        <v>6.98</v>
      </c>
      <c r="D21" s="1" t="s">
        <v>10</v>
      </c>
      <c r="E21" s="1" t="str">
        <f t="shared" si="1"/>
        <v>nofoil</v>
      </c>
      <c r="F21" s="1" t="s">
        <v>4</v>
      </c>
      <c r="G21" s="1">
        <f>VLOOKUP(F21,Sets!A:B,2,FALSE)</f>
        <v>5243</v>
      </c>
      <c r="H21" s="1">
        <v>1</v>
      </c>
      <c r="I21" s="2">
        <f t="shared" si="0"/>
        <v>6.98</v>
      </c>
      <c r="J21" s="7" t="str">
        <f t="shared" si="2"/>
        <v>http://www.starcitygames.com/results?name=Deathrite%20Shaman&amp;namematch=AND&amp;text=&amp;oracle=1&amp;textmatch=AND&amp;c_all=All&amp;multicolor=&amp;colormatch=OR&amp;colorexclude=1&amp;card_type_match=OR&amp;crittermatch=OR&amp;r_all=All&amp;s%5B%5D=5243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1" s="8" t="s">
        <v>295</v>
      </c>
    </row>
    <row r="22" spans="2:11" x14ac:dyDescent="0.25">
      <c r="B22" s="5" t="s">
        <v>60</v>
      </c>
      <c r="C22" s="2">
        <v>6.95</v>
      </c>
      <c r="D22" s="1" t="s">
        <v>10</v>
      </c>
      <c r="E22" s="1" t="str">
        <f t="shared" si="1"/>
        <v>nofoil</v>
      </c>
      <c r="F22" s="1" t="s">
        <v>61</v>
      </c>
      <c r="G22" s="1">
        <f>VLOOKUP(F22,Sets!A:B,2,FALSE)</f>
        <v>5308</v>
      </c>
      <c r="H22" s="1">
        <v>1</v>
      </c>
      <c r="I22" s="2">
        <f t="shared" si="0"/>
        <v>6.95</v>
      </c>
      <c r="J22" s="7" t="str">
        <f t="shared" si="2"/>
        <v>http://www.starcitygames.com/results?name=Canopy%20Vista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2" s="8" t="s">
        <v>296</v>
      </c>
    </row>
    <row r="23" spans="2:11" x14ac:dyDescent="0.25">
      <c r="B23" s="5" t="s">
        <v>64</v>
      </c>
      <c r="C23" s="2">
        <v>6.95</v>
      </c>
      <c r="D23" s="1" t="s">
        <v>10</v>
      </c>
      <c r="E23" s="1" t="str">
        <f t="shared" si="1"/>
        <v>nofoil</v>
      </c>
      <c r="F23" s="1" t="s">
        <v>61</v>
      </c>
      <c r="G23" s="1">
        <f>VLOOKUP(F23,Sets!A:B,2,FALSE)</f>
        <v>5308</v>
      </c>
      <c r="H23" s="1">
        <v>1</v>
      </c>
      <c r="I23" s="2">
        <f t="shared" si="0"/>
        <v>6.95</v>
      </c>
      <c r="J23" s="7" t="str">
        <f t="shared" si="2"/>
        <v>http://www.starcitygames.com/results?name=Prarie%20Stream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3" s="8" t="s">
        <v>297</v>
      </c>
    </row>
    <row r="24" spans="2:11" x14ac:dyDescent="0.25">
      <c r="B24" s="5" t="s">
        <v>26</v>
      </c>
      <c r="C24" s="2">
        <v>6.95</v>
      </c>
      <c r="D24" s="1" t="s">
        <v>10</v>
      </c>
      <c r="E24" s="1" t="str">
        <f t="shared" si="1"/>
        <v>nofoil</v>
      </c>
      <c r="F24" s="1" t="s">
        <v>1</v>
      </c>
      <c r="G24" s="1">
        <f>VLOOKUP(F24,Sets!A:B,2,FALSE)</f>
        <v>5271</v>
      </c>
      <c r="H24" s="1">
        <v>1</v>
      </c>
      <c r="I24" s="2">
        <f t="shared" si="0"/>
        <v>6.95</v>
      </c>
      <c r="J24" s="7" t="str">
        <f t="shared" si="2"/>
        <v>http://www.starcitygames.com/results?name=Temple%20of%20Enlightenment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4" s="8" t="s">
        <v>298</v>
      </c>
    </row>
    <row r="25" spans="2:11" x14ac:dyDescent="0.25">
      <c r="B25" s="5" t="s">
        <v>13</v>
      </c>
      <c r="C25" s="2">
        <v>5.95</v>
      </c>
      <c r="D25" s="1" t="s">
        <v>10</v>
      </c>
      <c r="E25" s="1" t="str">
        <f t="shared" si="1"/>
        <v>nofoil</v>
      </c>
      <c r="F25" s="1" t="s">
        <v>2</v>
      </c>
      <c r="G25" s="1">
        <f>VLOOKUP(F25,Sets!A:B,2,FALSE)</f>
        <v>5266</v>
      </c>
      <c r="H25" s="1">
        <v>1</v>
      </c>
      <c r="I25" s="2">
        <f t="shared" si="0"/>
        <v>5.95</v>
      </c>
      <c r="J25" s="7" t="str">
        <f t="shared" si="2"/>
        <v>http://www.starcitygames.com/results?name=Elspeth%2C%20Sun%27s%20Champion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5" s="8" t="s">
        <v>299</v>
      </c>
    </row>
    <row r="26" spans="2:11" x14ac:dyDescent="0.25">
      <c r="B26" s="5" t="s">
        <v>48</v>
      </c>
      <c r="C26" s="2">
        <v>5.65</v>
      </c>
      <c r="D26" s="1" t="s">
        <v>10</v>
      </c>
      <c r="E26" s="1" t="str">
        <f t="shared" si="1"/>
        <v>nofoil</v>
      </c>
      <c r="F26" s="1" t="s">
        <v>75</v>
      </c>
      <c r="G26" s="1">
        <f>VLOOKUP(F26,Sets!A:B,2,FALSE)</f>
        <v>5304</v>
      </c>
      <c r="H26" s="1">
        <v>1</v>
      </c>
      <c r="I26" s="2">
        <f t="shared" si="0"/>
        <v>5.65</v>
      </c>
      <c r="J26" s="7" t="str">
        <f t="shared" si="2"/>
        <v>http://www.starcitygames.com/results?name=Wilt-Leaf%20Liege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6" s="8" t="s">
        <v>300</v>
      </c>
    </row>
    <row r="27" spans="2:11" x14ac:dyDescent="0.25">
      <c r="B27" s="5" t="s">
        <v>20</v>
      </c>
      <c r="C27" s="2">
        <v>5.5</v>
      </c>
      <c r="D27" s="1" t="s">
        <v>10</v>
      </c>
      <c r="E27" s="1" t="str">
        <f t="shared" si="1"/>
        <v>nofoil</v>
      </c>
      <c r="F27" s="1" t="s">
        <v>4</v>
      </c>
      <c r="G27" s="1">
        <f>VLOOKUP(F27,Sets!A:B,2,FALSE)</f>
        <v>5243</v>
      </c>
      <c r="H27" s="1">
        <v>1</v>
      </c>
      <c r="I27" s="2">
        <f t="shared" si="0"/>
        <v>5.5</v>
      </c>
      <c r="J27" s="7" t="str">
        <f t="shared" si="2"/>
        <v>http://www.starcitygames.com/results?name=Chromatic%20Lantern&amp;namematch=AND&amp;text=&amp;oracle=1&amp;textmatch=AND&amp;c_all=All&amp;multicolor=&amp;colormatch=OR&amp;colorexclude=1&amp;card_type_match=OR&amp;crittermatch=OR&amp;r_all=All&amp;s%5B%5D=5243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7" s="8" t="s">
        <v>301</v>
      </c>
    </row>
    <row r="28" spans="2:11" x14ac:dyDescent="0.25">
      <c r="B28" s="5" t="s">
        <v>63</v>
      </c>
      <c r="C28" s="2">
        <v>5.45</v>
      </c>
      <c r="D28" s="1" t="s">
        <v>10</v>
      </c>
      <c r="E28" s="1" t="str">
        <f t="shared" si="1"/>
        <v>nofoil</v>
      </c>
      <c r="F28" s="1" t="s">
        <v>61</v>
      </c>
      <c r="G28" s="1">
        <f>VLOOKUP(F28,Sets!A:B,2,FALSE)</f>
        <v>5308</v>
      </c>
      <c r="H28" s="1">
        <v>1</v>
      </c>
      <c r="I28" s="2">
        <f t="shared" si="0"/>
        <v>5.45</v>
      </c>
      <c r="J28" s="7" t="str">
        <f t="shared" si="2"/>
        <v>http://www.starcitygames.com/results?name=Smoldering%20Marsh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8" s="8" t="s">
        <v>302</v>
      </c>
    </row>
    <row r="29" spans="2:11" x14ac:dyDescent="0.25">
      <c r="B29" s="5" t="s">
        <v>14</v>
      </c>
      <c r="C29" s="2">
        <v>5.35</v>
      </c>
      <c r="D29" s="1" t="s">
        <v>10</v>
      </c>
      <c r="E29" s="1" t="str">
        <f t="shared" si="1"/>
        <v>nofoil</v>
      </c>
      <c r="F29" s="1" t="s">
        <v>2</v>
      </c>
      <c r="G29" s="1">
        <f>VLOOKUP(F29,Sets!A:B,2,FALSE)</f>
        <v>5266</v>
      </c>
      <c r="H29" s="1">
        <v>1</v>
      </c>
      <c r="I29" s="2">
        <f t="shared" si="0"/>
        <v>5.35</v>
      </c>
      <c r="J29" s="7" t="str">
        <f t="shared" si="2"/>
        <v>http://www.starcitygames.com/results?name=Stormbreath%20Dragon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29" s="8" t="s">
        <v>303</v>
      </c>
    </row>
    <row r="30" spans="2:11" x14ac:dyDescent="0.25">
      <c r="B30" s="5" t="s">
        <v>28</v>
      </c>
      <c r="C30" s="2">
        <v>5</v>
      </c>
      <c r="D30" s="1" t="s">
        <v>10</v>
      </c>
      <c r="E30" s="1" t="str">
        <f t="shared" si="1"/>
        <v>nofoil</v>
      </c>
      <c r="F30" s="1" t="s">
        <v>0</v>
      </c>
      <c r="G30" s="1">
        <f>VLOOKUP(F30,Sets!A:B,2,FALSE)</f>
        <v>5281</v>
      </c>
      <c r="H30" s="1">
        <v>3</v>
      </c>
      <c r="I30" s="2">
        <f t="shared" si="0"/>
        <v>15</v>
      </c>
      <c r="J30" s="7" t="str">
        <f t="shared" si="2"/>
        <v>http://www.starcitygames.com/results?name=Temple%20of%20Epiphany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0" s="8" t="s">
        <v>304</v>
      </c>
    </row>
    <row r="31" spans="2:11" x14ac:dyDescent="0.25">
      <c r="B31" s="5" t="s">
        <v>59</v>
      </c>
      <c r="C31" s="2">
        <v>4.99</v>
      </c>
      <c r="D31" s="1" t="s">
        <v>10</v>
      </c>
      <c r="E31" s="1" t="str">
        <f t="shared" si="1"/>
        <v>nofoil</v>
      </c>
      <c r="F31" s="1" t="s">
        <v>208</v>
      </c>
      <c r="G31" s="1">
        <f>VLOOKUP(F31,Sets!A:B,2,FALSE)</f>
        <v>5288</v>
      </c>
      <c r="H31" s="1">
        <v>1</v>
      </c>
      <c r="I31" s="2">
        <f t="shared" si="0"/>
        <v>4.99</v>
      </c>
      <c r="J31" s="7" t="str">
        <f t="shared" si="2"/>
        <v>http://www.starcitygames.com/results?name=Ensoul%20Artifact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1" s="8" t="s">
        <v>305</v>
      </c>
    </row>
    <row r="32" spans="2:11" x14ac:dyDescent="0.25">
      <c r="B32" s="5" t="s">
        <v>39</v>
      </c>
      <c r="C32" s="2">
        <v>4.9800000000000004</v>
      </c>
      <c r="D32" s="1" t="s">
        <v>10</v>
      </c>
      <c r="E32" s="1" t="str">
        <f t="shared" si="1"/>
        <v>nofoil</v>
      </c>
      <c r="F32" s="1" t="s">
        <v>142</v>
      </c>
      <c r="G32" s="1">
        <f>VLOOKUP(F32,Sets!A:B,2,FALSE)</f>
        <v>5302</v>
      </c>
      <c r="H32" s="1">
        <v>1</v>
      </c>
      <c r="I32" s="2">
        <f t="shared" si="0"/>
        <v>4.9800000000000004</v>
      </c>
      <c r="J32" s="7" t="str">
        <f t="shared" si="2"/>
        <v>http://www.starcitygames.com/results?name=Kolaghan%27s%20Command&amp;namematch=AND&amp;text=&amp;oracle=1&amp;textmatch=AND&amp;c_all=All&amp;multicolor=&amp;colormatch=OR&amp;colorexclude=1&amp;card_type_match=OR&amp;crittermatch=OR&amp;r_all=All&amp;s%5B%5D=5302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2" s="8" t="s">
        <v>306</v>
      </c>
    </row>
    <row r="33" spans="2:11" x14ac:dyDescent="0.25">
      <c r="B33" s="5" t="s">
        <v>11</v>
      </c>
      <c r="C33" s="2">
        <v>4.7300000000000004</v>
      </c>
      <c r="D33" s="1" t="s">
        <v>10</v>
      </c>
      <c r="E33" s="1" t="str">
        <f t="shared" si="1"/>
        <v>nofoil</v>
      </c>
      <c r="F33" s="1" t="s">
        <v>2</v>
      </c>
      <c r="G33" s="1">
        <f>VLOOKUP(F33,Sets!A:B,2,FALSE)</f>
        <v>5266</v>
      </c>
      <c r="H33" s="1">
        <v>2</v>
      </c>
      <c r="I33" s="2">
        <f t="shared" si="0"/>
        <v>9.4600000000000009</v>
      </c>
      <c r="J33" s="7" t="str">
        <f t="shared" si="2"/>
        <v>http://www.starcitygames.com/results?name=Xenagos%2C%20the%20Reveler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3" s="8" t="s">
        <v>307</v>
      </c>
    </row>
    <row r="34" spans="2:11" x14ac:dyDescent="0.25">
      <c r="B34" s="5" t="s">
        <v>16</v>
      </c>
      <c r="C34" s="2">
        <v>4.5</v>
      </c>
      <c r="D34" s="1" t="s">
        <v>10</v>
      </c>
      <c r="E34" s="1" t="str">
        <f t="shared" si="1"/>
        <v>nofoil</v>
      </c>
      <c r="F34" s="1" t="s">
        <v>0</v>
      </c>
      <c r="G34" s="1">
        <f>VLOOKUP(F34,Sets!A:B,2,FALSE)</f>
        <v>5281</v>
      </c>
      <c r="H34" s="1">
        <v>1</v>
      </c>
      <c r="I34" s="2">
        <f t="shared" si="0"/>
        <v>4.5</v>
      </c>
      <c r="J34" s="7" t="str">
        <f t="shared" si="2"/>
        <v>http://www.starcitygames.com/results?name=Pharika%2C%20God%20of%20Afflication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4" s="8" t="s">
        <v>308</v>
      </c>
    </row>
    <row r="35" spans="2:11" x14ac:dyDescent="0.25">
      <c r="B35" s="5" t="s">
        <v>12</v>
      </c>
      <c r="C35" s="2">
        <v>3.83</v>
      </c>
      <c r="D35" s="1" t="s">
        <v>10</v>
      </c>
      <c r="E35" s="1" t="str">
        <f t="shared" si="1"/>
        <v>nofoil</v>
      </c>
      <c r="F35" s="1" t="s">
        <v>0</v>
      </c>
      <c r="G35" s="1">
        <f>VLOOKUP(F35,Sets!A:B,2,FALSE)</f>
        <v>5281</v>
      </c>
      <c r="H35" s="1">
        <v>1</v>
      </c>
      <c r="I35" s="2">
        <f t="shared" ref="I35:I55" si="3">H35*C35</f>
        <v>3.83</v>
      </c>
      <c r="J35" s="7" t="str">
        <f t="shared" si="2"/>
        <v>http://www.starcitygames.com/results?name=Godsend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5" s="8" t="s">
        <v>309</v>
      </c>
    </row>
    <row r="36" spans="2:11" x14ac:dyDescent="0.25">
      <c r="B36" s="5" t="s">
        <v>21</v>
      </c>
      <c r="C36" s="2">
        <v>3.65</v>
      </c>
      <c r="D36" s="1" t="s">
        <v>10</v>
      </c>
      <c r="E36" s="1" t="str">
        <f t="shared" si="1"/>
        <v>nofoil</v>
      </c>
      <c r="F36" s="1" t="s">
        <v>0</v>
      </c>
      <c r="G36" s="1">
        <f>VLOOKUP(F36,Sets!A:B,2,FALSE)</f>
        <v>5281</v>
      </c>
      <c r="H36" s="1">
        <v>2</v>
      </c>
      <c r="I36" s="2">
        <f t="shared" si="3"/>
        <v>7.3</v>
      </c>
      <c r="J36" s="7" t="str">
        <f t="shared" si="2"/>
        <v>http://www.starcitygames.com/results?name=Temple%20of%20Malady&amp;namematch=AND&amp;text=&amp;oracle=1&amp;textmatch=AND&amp;c_all=All&amp;multicolor=&amp;colormatch=OR&amp;colorexclude=1&amp;card_type_match=OR&amp;crittermatch=OR&amp;r_all=All&amp;s%5B%5D=5281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6" s="8" t="s">
        <v>310</v>
      </c>
    </row>
    <row r="37" spans="2:11" x14ac:dyDescent="0.25">
      <c r="B37" s="5" t="s">
        <v>65</v>
      </c>
      <c r="C37" s="2">
        <v>3.48</v>
      </c>
      <c r="D37" s="1" t="s">
        <v>10</v>
      </c>
      <c r="E37" s="1" t="str">
        <f t="shared" si="1"/>
        <v>nofoil</v>
      </c>
      <c r="F37" s="1" t="s">
        <v>61</v>
      </c>
      <c r="G37" s="1">
        <f>VLOOKUP(F37,Sets!A:B,2,FALSE)</f>
        <v>5308</v>
      </c>
      <c r="H37" s="1">
        <v>2</v>
      </c>
      <c r="I37" s="2">
        <f t="shared" si="3"/>
        <v>6.96</v>
      </c>
      <c r="J37" s="7" t="str">
        <f t="shared" si="2"/>
        <v>http://www.starcitygames.com/results?name=Bring%20to%20Light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7" s="8" t="s">
        <v>311</v>
      </c>
    </row>
    <row r="38" spans="2:11" x14ac:dyDescent="0.25">
      <c r="B38" s="5" t="s">
        <v>18</v>
      </c>
      <c r="C38" s="2">
        <v>3.48</v>
      </c>
      <c r="D38" s="1" t="s">
        <v>10</v>
      </c>
      <c r="E38" s="1" t="str">
        <f t="shared" si="1"/>
        <v>nofoil</v>
      </c>
      <c r="F38" s="1" t="s">
        <v>1</v>
      </c>
      <c r="G38" s="1">
        <f>VLOOKUP(F38,Sets!A:B,2,FALSE)</f>
        <v>5271</v>
      </c>
      <c r="H38" s="1">
        <v>1</v>
      </c>
      <c r="I38" s="2">
        <f t="shared" si="3"/>
        <v>3.48</v>
      </c>
      <c r="J38" s="7" t="str">
        <f t="shared" si="2"/>
        <v>http://www.starcitygames.com/results?name=Phenax%2C%20God%20of%20Deception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8" s="8" t="s">
        <v>312</v>
      </c>
    </row>
    <row r="39" spans="2:11" x14ac:dyDescent="0.25">
      <c r="B39" s="5" t="s">
        <v>38</v>
      </c>
      <c r="C39" s="2">
        <v>3.25</v>
      </c>
      <c r="D39" s="1" t="s">
        <v>10</v>
      </c>
      <c r="E39" s="1" t="str">
        <f t="shared" si="1"/>
        <v>nofoil</v>
      </c>
      <c r="F39" s="1" t="s">
        <v>2</v>
      </c>
      <c r="G39" s="1">
        <f>VLOOKUP(F39,Sets!A:B,2,FALSE)</f>
        <v>5266</v>
      </c>
      <c r="H39" s="1">
        <v>1</v>
      </c>
      <c r="I39" s="2">
        <f t="shared" si="3"/>
        <v>3.25</v>
      </c>
      <c r="J39" s="7" t="str">
        <f t="shared" si="2"/>
        <v>http://www.starcitygames.com/results?name=Hero%27s%20Downfall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39" s="8" t="s">
        <v>313</v>
      </c>
    </row>
    <row r="40" spans="2:11" x14ac:dyDescent="0.25">
      <c r="B40" s="5" t="s">
        <v>30</v>
      </c>
      <c r="C40" s="2">
        <v>3.2</v>
      </c>
      <c r="D40" s="1" t="s">
        <v>10</v>
      </c>
      <c r="E40" s="1" t="str">
        <f t="shared" si="1"/>
        <v>nofoil</v>
      </c>
      <c r="F40" s="1" t="s">
        <v>208</v>
      </c>
      <c r="G40" s="1">
        <f>VLOOKUP(F40,Sets!A:B,2,FALSE)</f>
        <v>5288</v>
      </c>
      <c r="H40" s="1">
        <v>1</v>
      </c>
      <c r="I40" s="2">
        <f t="shared" si="3"/>
        <v>3.2</v>
      </c>
      <c r="J40" s="7" t="str">
        <f t="shared" si="2"/>
        <v>http://www.starcitygames.com/results?name=Yavimaya%20Coast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0" s="8" t="s">
        <v>314</v>
      </c>
    </row>
    <row r="41" spans="2:11" x14ac:dyDescent="0.25">
      <c r="B41" s="5" t="s">
        <v>67</v>
      </c>
      <c r="C41" s="2">
        <v>3.14</v>
      </c>
      <c r="D41" s="1" t="s">
        <v>10</v>
      </c>
      <c r="E41" s="1" t="str">
        <f t="shared" si="1"/>
        <v>nofoil</v>
      </c>
      <c r="F41" s="1" t="s">
        <v>61</v>
      </c>
      <c r="G41" s="1">
        <f>VLOOKUP(F41,Sets!A:B,2,FALSE)</f>
        <v>5308</v>
      </c>
      <c r="H41" s="1">
        <v>1</v>
      </c>
      <c r="I41" s="2">
        <f t="shared" si="3"/>
        <v>3.14</v>
      </c>
      <c r="J41" s="7" t="str">
        <f t="shared" si="2"/>
        <v>http://www.starcitygames.com/results?name=Greenwarden%20of%20Murasa&amp;namematch=AND&amp;text=&amp;oracle=1&amp;textmatch=AND&amp;c_all=All&amp;multicolor=&amp;colormatch=OR&amp;colorexclude=1&amp;card_type_match=OR&amp;crittermatch=OR&amp;r_all=All&amp;s%5B%5D=5308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1" s="8" t="s">
        <v>315</v>
      </c>
    </row>
    <row r="42" spans="2:11" x14ac:dyDescent="0.25">
      <c r="B42" s="5" t="s">
        <v>25</v>
      </c>
      <c r="C42" s="2">
        <v>3</v>
      </c>
      <c r="D42" s="1" t="s">
        <v>10</v>
      </c>
      <c r="E42" s="1" t="str">
        <f t="shared" si="1"/>
        <v>nofoil</v>
      </c>
      <c r="F42" s="1" t="s">
        <v>1</v>
      </c>
      <c r="G42" s="1">
        <f>VLOOKUP(F42,Sets!A:B,2,FALSE)</f>
        <v>5271</v>
      </c>
      <c r="H42" s="1">
        <v>3</v>
      </c>
      <c r="I42" s="2">
        <f t="shared" si="3"/>
        <v>9</v>
      </c>
      <c r="J42" s="7" t="str">
        <f t="shared" si="2"/>
        <v>http://www.starcitygames.com/results?name=Temple%20of%20Plenty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2" s="8" t="s">
        <v>316</v>
      </c>
    </row>
    <row r="43" spans="2:11" x14ac:dyDescent="0.25">
      <c r="B43" s="5" t="s">
        <v>17</v>
      </c>
      <c r="C43" s="2">
        <v>2.95</v>
      </c>
      <c r="D43" s="1" t="s">
        <v>10</v>
      </c>
      <c r="E43" s="1" t="str">
        <f t="shared" si="1"/>
        <v>nofoil</v>
      </c>
      <c r="F43" s="1" t="s">
        <v>3</v>
      </c>
      <c r="G43" s="1">
        <f>VLOOKUP(F43,Sets!A:B,2,FALSE)</f>
        <v>5249</v>
      </c>
      <c r="H43" s="1">
        <v>1</v>
      </c>
      <c r="I43" s="2">
        <f t="shared" si="3"/>
        <v>2.95</v>
      </c>
      <c r="J43" s="7" t="str">
        <f t="shared" si="2"/>
        <v>http://www.starcitygames.com/results?name=Boros%20Reckoner&amp;namematch=AND&amp;text=&amp;oracle=1&amp;textmatch=AND&amp;c_all=All&amp;multicolor=&amp;colormatch=OR&amp;colorexclude=1&amp;card_type_match=OR&amp;crittermatch=OR&amp;r_all=All&amp;s%5B%5D=5249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3" s="8" t="s">
        <v>317</v>
      </c>
    </row>
    <row r="44" spans="2:11" x14ac:dyDescent="0.25">
      <c r="B44" s="5" t="s">
        <v>45</v>
      </c>
      <c r="C44" s="2">
        <v>2.95</v>
      </c>
      <c r="D44" s="1" t="s">
        <v>10</v>
      </c>
      <c r="E44" s="1" t="str">
        <f t="shared" si="1"/>
        <v>nofoil</v>
      </c>
      <c r="F44" s="1" t="s">
        <v>208</v>
      </c>
      <c r="G44" s="1">
        <f>VLOOKUP(F44,Sets!A:B,2,FALSE)</f>
        <v>5288</v>
      </c>
      <c r="H44" s="1">
        <v>1</v>
      </c>
      <c r="I44" s="2">
        <f t="shared" si="3"/>
        <v>2.95</v>
      </c>
      <c r="J44" s="7" t="str">
        <f t="shared" si="2"/>
        <v>http://www.starcitygames.com/results?name=Hornet%20Nest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4" s="8" t="s">
        <v>318</v>
      </c>
    </row>
    <row r="45" spans="2:11" x14ac:dyDescent="0.25">
      <c r="B45" s="5" t="s">
        <v>35</v>
      </c>
      <c r="C45" s="2">
        <v>2.95</v>
      </c>
      <c r="D45" s="1" t="s">
        <v>10</v>
      </c>
      <c r="E45" s="1" t="str">
        <f t="shared" si="1"/>
        <v>nofoil</v>
      </c>
      <c r="F45" s="1" t="s">
        <v>200</v>
      </c>
      <c r="G45" s="1">
        <f>VLOOKUP(F45,Sets!A:B,2,FALSE)</f>
        <v>5291</v>
      </c>
      <c r="H45" s="1">
        <v>1</v>
      </c>
      <c r="I45" s="2">
        <f t="shared" si="3"/>
        <v>2.95</v>
      </c>
      <c r="J45" s="7" t="str">
        <f t="shared" si="2"/>
        <v>http://www.starcitygames.com/results?name=See%20the%20Unwritten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5" s="8" t="s">
        <v>319</v>
      </c>
    </row>
    <row r="46" spans="2:11" x14ac:dyDescent="0.25">
      <c r="B46" s="5" t="s">
        <v>23</v>
      </c>
      <c r="C46" s="2">
        <v>2.75</v>
      </c>
      <c r="D46" s="1" t="s">
        <v>10</v>
      </c>
      <c r="E46" s="1" t="str">
        <f t="shared" si="1"/>
        <v>nofoil</v>
      </c>
      <c r="F46" s="1" t="s">
        <v>2</v>
      </c>
      <c r="G46" s="1">
        <f>VLOOKUP(F46,Sets!A:B,2,FALSE)</f>
        <v>5266</v>
      </c>
      <c r="H46" s="1">
        <v>1</v>
      </c>
      <c r="I46" s="2">
        <f t="shared" si="3"/>
        <v>2.75</v>
      </c>
      <c r="J46" s="7" t="str">
        <f t="shared" si="2"/>
        <v>http://www.starcitygames.com/results?name=Temple%20of%20Triumph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6" s="8" t="s">
        <v>320</v>
      </c>
    </row>
    <row r="47" spans="2:11" x14ac:dyDescent="0.25">
      <c r="B47" s="5" t="s">
        <v>42</v>
      </c>
      <c r="C47" s="2">
        <v>2.35</v>
      </c>
      <c r="D47" s="1" t="s">
        <v>10</v>
      </c>
      <c r="E47" s="1" t="str">
        <f t="shared" si="1"/>
        <v>nofoil</v>
      </c>
      <c r="F47" s="1" t="s">
        <v>208</v>
      </c>
      <c r="G47" s="1">
        <f>VLOOKUP(F47,Sets!A:B,2,FALSE)</f>
        <v>5288</v>
      </c>
      <c r="H47" s="1">
        <v>1</v>
      </c>
      <c r="I47" s="2">
        <f t="shared" si="3"/>
        <v>2.35</v>
      </c>
      <c r="J47" s="7" t="str">
        <f t="shared" si="2"/>
        <v>http://www.starcitygames.com/results?name=Jace%2C%20the%20Living%20Guildpact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7" s="8" t="s">
        <v>321</v>
      </c>
    </row>
    <row r="48" spans="2:11" x14ac:dyDescent="0.25">
      <c r="B48" s="5" t="s">
        <v>24</v>
      </c>
      <c r="C48" s="2">
        <v>2.2000000000000002</v>
      </c>
      <c r="D48" s="1" t="s">
        <v>10</v>
      </c>
      <c r="E48" s="1" t="str">
        <f t="shared" si="1"/>
        <v>nofoil</v>
      </c>
      <c r="F48" s="1" t="s">
        <v>1</v>
      </c>
      <c r="G48" s="1">
        <f>VLOOKUP(F48,Sets!A:B,2,FALSE)</f>
        <v>5271</v>
      </c>
      <c r="H48" s="1">
        <v>4</v>
      </c>
      <c r="I48" s="2">
        <f t="shared" si="3"/>
        <v>8.8000000000000007</v>
      </c>
      <c r="J48" s="7" t="str">
        <f t="shared" si="2"/>
        <v>http://www.starcitygames.com/results?name=Temple%20of%20Malice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8" s="8" t="s">
        <v>322</v>
      </c>
    </row>
    <row r="49" spans="2:11" x14ac:dyDescent="0.25">
      <c r="B49" s="5" t="s">
        <v>37</v>
      </c>
      <c r="C49" s="2">
        <v>1.95</v>
      </c>
      <c r="D49" s="1" t="s">
        <v>10</v>
      </c>
      <c r="E49" s="1" t="str">
        <f t="shared" si="1"/>
        <v>nofoil</v>
      </c>
      <c r="F49" s="1" t="s">
        <v>200</v>
      </c>
      <c r="G49" s="1">
        <f>VLOOKUP(F49,Sets!A:B,2,FALSE)</f>
        <v>5291</v>
      </c>
      <c r="H49" s="1">
        <v>2</v>
      </c>
      <c r="I49" s="2">
        <f t="shared" si="3"/>
        <v>3.9</v>
      </c>
      <c r="J49" s="7" t="str">
        <f t="shared" si="2"/>
        <v>http://www.starcitygames.com/results?name=Rattleclaw%20Mystic&amp;namematch=AND&amp;text=&amp;oracle=1&amp;textmatch=AND&amp;c_all=All&amp;multicolor=&amp;colormatch=OR&amp;colorexclude=1&amp;card_type_match=OR&amp;crittermatch=OR&amp;r_all=All&amp;s%5B%5D=5291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49" s="8" t="s">
        <v>323</v>
      </c>
    </row>
    <row r="50" spans="2:11" x14ac:dyDescent="0.25">
      <c r="B50" s="5" t="s">
        <v>43</v>
      </c>
      <c r="C50" s="2">
        <v>1.92</v>
      </c>
      <c r="D50" s="1" t="s">
        <v>10</v>
      </c>
      <c r="E50" s="1" t="str">
        <f t="shared" si="1"/>
        <v>nofoil</v>
      </c>
      <c r="F50" s="1" t="s">
        <v>142</v>
      </c>
      <c r="G50" s="1">
        <f>VLOOKUP(F50,Sets!A:B,2,FALSE)</f>
        <v>5302</v>
      </c>
      <c r="H50" s="1">
        <v>1</v>
      </c>
      <c r="I50" s="2">
        <f t="shared" si="3"/>
        <v>1.92</v>
      </c>
      <c r="J50" s="7" t="str">
        <f t="shared" si="2"/>
        <v>http://www.starcitygames.com/results?name=Dragon%20Whisperer&amp;namematch=AND&amp;text=&amp;oracle=1&amp;textmatch=AND&amp;c_all=All&amp;multicolor=&amp;colormatch=OR&amp;colorexclude=1&amp;card_type_match=OR&amp;crittermatch=OR&amp;r_all=All&amp;s%5B%5D=5302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50" s="8" t="s">
        <v>324</v>
      </c>
    </row>
    <row r="51" spans="2:11" x14ac:dyDescent="0.25">
      <c r="B51" s="5" t="s">
        <v>31</v>
      </c>
      <c r="C51" s="2">
        <v>1.69</v>
      </c>
      <c r="D51" s="1" t="s">
        <v>10</v>
      </c>
      <c r="E51" s="1" t="str">
        <f t="shared" si="1"/>
        <v>nofoil</v>
      </c>
      <c r="F51" s="1" t="s">
        <v>208</v>
      </c>
      <c r="G51" s="1">
        <f>VLOOKUP(F51,Sets!A:B,2,FALSE)</f>
        <v>5288</v>
      </c>
      <c r="H51" s="1">
        <v>1</v>
      </c>
      <c r="I51" s="2">
        <f t="shared" si="3"/>
        <v>1.69</v>
      </c>
      <c r="J51" s="7" t="str">
        <f t="shared" si="2"/>
        <v>http://www.starcitygames.com/results?name=Caves%20of%20Koilos&amp;namematch=AND&amp;text=&amp;oracle=1&amp;textmatch=AND&amp;c_all=All&amp;multicolor=&amp;colormatch=OR&amp;colorexclude=1&amp;card_type_match=OR&amp;crittermatch=OR&amp;r_all=All&amp;s%5B%5D=5288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51" s="8" t="s">
        <v>325</v>
      </c>
    </row>
    <row r="52" spans="2:11" x14ac:dyDescent="0.25">
      <c r="B52" s="5" t="s">
        <v>36</v>
      </c>
      <c r="C52" s="2">
        <v>1.45</v>
      </c>
      <c r="D52" s="1" t="s">
        <v>10</v>
      </c>
      <c r="E52" s="1" t="str">
        <f t="shared" si="1"/>
        <v>nofoil</v>
      </c>
      <c r="F52" s="1" t="s">
        <v>1</v>
      </c>
      <c r="G52" s="1">
        <f>VLOOKUP(F52,Sets!A:B,2,FALSE)</f>
        <v>5271</v>
      </c>
      <c r="H52" s="1">
        <v>3</v>
      </c>
      <c r="I52" s="2">
        <f t="shared" si="3"/>
        <v>4.3499999999999996</v>
      </c>
      <c r="J52" s="7" t="str">
        <f t="shared" si="2"/>
        <v>http://www.starcitygames.com/results?name=Chromanticore&amp;namematch=AND&amp;text=&amp;oracle=1&amp;textmatch=AND&amp;c_all=All&amp;multicolor=&amp;colormatch=OR&amp;colorexclude=1&amp;card_type_match=OR&amp;crittermatch=OR&amp;r_all=All&amp;s%5B%5D=5271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52" s="8" t="s">
        <v>326</v>
      </c>
    </row>
    <row r="53" spans="2:11" x14ac:dyDescent="0.25">
      <c r="B53" s="5" t="s">
        <v>49</v>
      </c>
      <c r="C53" s="2">
        <v>1.38</v>
      </c>
      <c r="D53" s="1" t="s">
        <v>10</v>
      </c>
      <c r="E53" s="1" t="str">
        <f t="shared" si="1"/>
        <v>nofoil</v>
      </c>
      <c r="F53" s="1" t="s">
        <v>75</v>
      </c>
      <c r="G53" s="1">
        <f>VLOOKUP(F53,Sets!A:B,2,FALSE)</f>
        <v>5304</v>
      </c>
      <c r="H53" s="1">
        <v>1</v>
      </c>
      <c r="I53" s="2">
        <f t="shared" si="3"/>
        <v>1.38</v>
      </c>
      <c r="J53" s="7" t="str">
        <f t="shared" si="2"/>
        <v>http://www.starcitygames.com/results?name=Expedition%20Map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53" s="8" t="s">
        <v>327</v>
      </c>
    </row>
    <row r="54" spans="2:11" x14ac:dyDescent="0.25">
      <c r="B54" s="5" t="s">
        <v>40</v>
      </c>
      <c r="C54" s="2">
        <v>1.25</v>
      </c>
      <c r="D54" s="1" t="s">
        <v>10</v>
      </c>
      <c r="E54" s="1" t="str">
        <f t="shared" si="1"/>
        <v>nofoil</v>
      </c>
      <c r="F54" s="1" t="s">
        <v>2</v>
      </c>
      <c r="G54" s="1">
        <f>VLOOKUP(F54,Sets!A:B,2,FALSE)</f>
        <v>5266</v>
      </c>
      <c r="H54" s="1">
        <v>1</v>
      </c>
      <c r="I54" s="2">
        <f t="shared" si="3"/>
        <v>1.25</v>
      </c>
      <c r="J54" s="7" t="str">
        <f t="shared" si="2"/>
        <v>http://www.starcitygames.com/results?name=Temple%20of%20Abandon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54" s="8" t="s">
        <v>328</v>
      </c>
    </row>
    <row r="55" spans="2:11" x14ac:dyDescent="0.25">
      <c r="B55" s="5" t="s">
        <v>29</v>
      </c>
      <c r="C55" s="2">
        <v>1.25</v>
      </c>
      <c r="D55" s="1" t="s">
        <v>10</v>
      </c>
      <c r="E55" s="1" t="str">
        <f t="shared" si="1"/>
        <v>nofoil</v>
      </c>
      <c r="F55" s="1" t="s">
        <v>2</v>
      </c>
      <c r="G55" s="1">
        <f>VLOOKUP(F55,Sets!A:B,2,FALSE)</f>
        <v>5266</v>
      </c>
      <c r="H55" s="1">
        <v>1</v>
      </c>
      <c r="I55" s="2">
        <f t="shared" si="3"/>
        <v>1.25</v>
      </c>
      <c r="J55" s="7" t="str">
        <f t="shared" si="2"/>
        <v>http://www.starcitygames.com/results?name=Temple%20of%20Mystery&amp;namematch=AND&amp;text=&amp;oracle=1&amp;textmatch=AND&amp;c_all=All&amp;multicolor=&amp;colormatch=OR&amp;colorexclude=1&amp;card_type_match=OR&amp;crittermatch=OR&amp;r_all=All&amp;s%5B%5D=5266&amp;foil=nofoil&amp;g_all=All&amp;lang%5B%5D=1&amp;cmcop=%3D&amp;cmc=&amp;ccl=0&amp;ccu=99&amp;pwrop=%3D&amp;pwr=&amp;mincost=0.00&amp;maxcost=99999.99&amp;tghop=%3D&amp;tgh=&amp;sort1=4&amp;sort2=1&amp;sort3=10&amp;sort4=0&amp;display=1&amp;numpage=25</v>
      </c>
      <c r="K55" s="8" t="s">
        <v>329</v>
      </c>
    </row>
    <row r="56" spans="2:11" x14ac:dyDescent="0.25">
      <c r="B56" s="5" t="s">
        <v>70</v>
      </c>
      <c r="C56" s="2">
        <v>19.989999999999998</v>
      </c>
      <c r="D56" s="1" t="s">
        <v>8</v>
      </c>
      <c r="E56" s="1" t="str">
        <f t="shared" si="1"/>
        <v>foil</v>
      </c>
      <c r="F56" s="1" t="s">
        <v>209</v>
      </c>
      <c r="G56" s="1">
        <f>VLOOKUP(F56,Sets!A:B,2,FALSE)</f>
        <v>5306</v>
      </c>
      <c r="H56" s="1">
        <v>1</v>
      </c>
      <c r="I56" s="2">
        <f t="shared" ref="I56:I63" si="4">H56*C56</f>
        <v>19.989999999999998</v>
      </c>
      <c r="J56" s="7" t="str">
        <f t="shared" si="2"/>
        <v>http://www.starcitygames.com/results?name=Liliana%2C%20Heretical%20Healer&amp;namematch=AND&amp;text=&amp;oracle=1&amp;textmatch=AND&amp;c_all=All&amp;multicolor=&amp;colormatch=OR&amp;colorexclude=1&amp;card_type_match=OR&amp;crittermatch=OR&amp;r_all=All&amp;s%5B%5D=5306&amp;foil=foil&amp;g_all=All&amp;lang%5B%5D=1&amp;cmcop=%3D&amp;cmc=&amp;ccl=0&amp;ccu=99&amp;pwrop=%3D&amp;pwr=&amp;mincost=0.00&amp;maxcost=99999.99&amp;tghop=%3D&amp;tgh=&amp;sort1=4&amp;sort2=1&amp;sort3=10&amp;sort4=0&amp;display=1&amp;numpage=25</v>
      </c>
      <c r="K56" s="8" t="s">
        <v>330</v>
      </c>
    </row>
    <row r="57" spans="2:11" x14ac:dyDescent="0.25">
      <c r="B57" s="1" t="s">
        <v>62</v>
      </c>
      <c r="C57" s="2">
        <v>16.55</v>
      </c>
      <c r="D57" s="1" t="s">
        <v>8</v>
      </c>
      <c r="E57" s="1" t="str">
        <f t="shared" si="1"/>
        <v>foil</v>
      </c>
      <c r="F57" s="1" t="s">
        <v>61</v>
      </c>
      <c r="G57" s="1">
        <f>VLOOKUP(F57,Sets!A:B,2,FALSE)</f>
        <v>5308</v>
      </c>
      <c r="H57" s="1">
        <v>1</v>
      </c>
      <c r="I57" s="2">
        <f t="shared" si="4"/>
        <v>16.55</v>
      </c>
      <c r="J57" s="7" t="str">
        <f t="shared" si="2"/>
        <v>http://www.starcitygames.com/results?name=Sunken%20Hollow&amp;namematch=AND&amp;text=&amp;oracle=1&amp;textmatch=AND&amp;c_all=All&amp;multicolor=&amp;colormatch=OR&amp;colorexclude=1&amp;card_type_match=OR&amp;crittermatch=OR&amp;r_all=All&amp;s%5B%5D=5308&amp;foil=foil&amp;g_all=All&amp;lang%5B%5D=1&amp;cmcop=%3D&amp;cmc=&amp;ccl=0&amp;ccu=99&amp;pwrop=%3D&amp;pwr=&amp;mincost=0.00&amp;maxcost=99999.99&amp;tghop=%3D&amp;tgh=&amp;sort1=4&amp;sort2=1&amp;sort3=10&amp;sort4=0&amp;display=1&amp;numpage=25</v>
      </c>
      <c r="K57" s="8" t="s">
        <v>331</v>
      </c>
    </row>
    <row r="58" spans="2:11" x14ac:dyDescent="0.25">
      <c r="B58" s="1" t="s">
        <v>9</v>
      </c>
      <c r="C58" s="2">
        <v>11.99</v>
      </c>
      <c r="D58" s="1" t="s">
        <v>8</v>
      </c>
      <c r="E58" s="1" t="str">
        <f t="shared" si="1"/>
        <v>foil</v>
      </c>
      <c r="F58" s="1" t="s">
        <v>200</v>
      </c>
      <c r="G58" s="1">
        <f>VLOOKUP(F58,Sets!A:B,2,FALSE)</f>
        <v>5291</v>
      </c>
      <c r="H58" s="1">
        <v>1</v>
      </c>
      <c r="I58" s="2">
        <f t="shared" si="4"/>
        <v>11.99</v>
      </c>
      <c r="J58" s="7" t="str">
        <f t="shared" si="2"/>
        <v>http://www.starcitygames.com/results?name=Monstery%20Swiftspear&amp;namematch=AND&amp;text=&amp;oracle=1&amp;textmatch=AND&amp;c_all=All&amp;multicolor=&amp;colormatch=OR&amp;colorexclude=1&amp;card_type_match=OR&amp;crittermatch=OR&amp;r_all=All&amp;s%5B%5D=5291&amp;foil=foil&amp;g_all=All&amp;lang%5B%5D=1&amp;cmcop=%3D&amp;cmc=&amp;ccl=0&amp;ccu=99&amp;pwrop=%3D&amp;pwr=&amp;mincost=0.00&amp;maxcost=99999.99&amp;tghop=%3D&amp;tgh=&amp;sort1=4&amp;sort2=1&amp;sort3=10&amp;sort4=0&amp;display=1&amp;numpage=25</v>
      </c>
      <c r="K58" s="8" t="s">
        <v>332</v>
      </c>
    </row>
    <row r="59" spans="2:11" x14ac:dyDescent="0.25">
      <c r="B59" s="1" t="s">
        <v>41</v>
      </c>
      <c r="C59" s="2">
        <v>5.99</v>
      </c>
      <c r="D59" s="1" t="s">
        <v>8</v>
      </c>
      <c r="E59" s="1" t="str">
        <f t="shared" si="1"/>
        <v>foil</v>
      </c>
      <c r="F59" s="1" t="s">
        <v>1</v>
      </c>
      <c r="G59" s="1">
        <f>VLOOKUP(F59,Sets!A:B,2,FALSE)</f>
        <v>5271</v>
      </c>
      <c r="H59" s="1">
        <v>1</v>
      </c>
      <c r="I59" s="2">
        <f t="shared" si="4"/>
        <v>5.99</v>
      </c>
      <c r="J59" s="7" t="str">
        <f t="shared" si="2"/>
        <v>http://www.starcitygames.com/results?name=Hero%20of%20Iroas&amp;namematch=AND&amp;text=&amp;oracle=1&amp;textmatch=AND&amp;c_all=All&amp;multicolor=&amp;colormatch=OR&amp;colorexclude=1&amp;card_type_match=OR&amp;crittermatch=OR&amp;r_all=All&amp;s%5B%5D=5271&amp;foil=foil&amp;g_all=All&amp;lang%5B%5D=1&amp;cmcop=%3D&amp;cmc=&amp;ccl=0&amp;ccu=99&amp;pwrop=%3D&amp;pwr=&amp;mincost=0.00&amp;maxcost=99999.99&amp;tghop=%3D&amp;tgh=&amp;sort1=4&amp;sort2=1&amp;sort3=10&amp;sort4=0&amp;display=1&amp;numpage=25</v>
      </c>
      <c r="K59" s="8" t="s">
        <v>333</v>
      </c>
    </row>
    <row r="60" spans="2:11" x14ac:dyDescent="0.25">
      <c r="B60" s="1" t="s">
        <v>49</v>
      </c>
      <c r="C60" s="2">
        <v>4.9800000000000004</v>
      </c>
      <c r="D60" s="1" t="s">
        <v>8</v>
      </c>
      <c r="E60" s="1" t="str">
        <f t="shared" si="1"/>
        <v>foil</v>
      </c>
      <c r="F60" s="1" t="s">
        <v>75</v>
      </c>
      <c r="G60" s="1">
        <f>VLOOKUP(F60,Sets!A:B,2,FALSE)</f>
        <v>5304</v>
      </c>
      <c r="H60" s="1">
        <v>1</v>
      </c>
      <c r="I60" s="2">
        <f t="shared" si="4"/>
        <v>4.9800000000000004</v>
      </c>
      <c r="J60" s="7" t="str">
        <f t="shared" si="2"/>
        <v>http://www.starcitygames.com/results?name=Expedition%20Map&amp;namematch=AND&amp;text=&amp;oracle=1&amp;textmatch=AND&amp;c_all=All&amp;multicolor=&amp;colormatch=OR&amp;colorexclude=1&amp;card_type_match=OR&amp;crittermatch=OR&amp;r_all=All&amp;s%5B%5D=5304&amp;foil=foil&amp;g_all=All&amp;lang%5B%5D=1&amp;cmcop=%3D&amp;cmc=&amp;ccl=0&amp;ccu=99&amp;pwrop=%3D&amp;pwr=&amp;mincost=0.00&amp;maxcost=99999.99&amp;tghop=%3D&amp;tgh=&amp;sort1=4&amp;sort2=1&amp;sort3=10&amp;sort4=0&amp;display=1&amp;numpage=25</v>
      </c>
      <c r="K60" s="8" t="s">
        <v>334</v>
      </c>
    </row>
    <row r="61" spans="2:11" x14ac:dyDescent="0.25">
      <c r="B61" s="5" t="s">
        <v>73</v>
      </c>
      <c r="C61" s="2">
        <v>59.99</v>
      </c>
      <c r="D61" s="1" t="s">
        <v>8</v>
      </c>
      <c r="E61" s="1" t="str">
        <f t="shared" si="1"/>
        <v>foil</v>
      </c>
      <c r="F61" s="1" t="s">
        <v>74</v>
      </c>
      <c r="G61" s="1">
        <f>VLOOKUP(F61,Sets!A:B,2,FALSE)</f>
        <v>5336</v>
      </c>
      <c r="H61" s="1">
        <v>1</v>
      </c>
      <c r="I61" s="2">
        <f t="shared" si="4"/>
        <v>59.99</v>
      </c>
      <c r="J61" s="7" t="str">
        <f t="shared" si="2"/>
        <v>http://www.starcitygames.com/results?name=Emrakul%2C%20the%20Promised%20End&amp;namematch=AND&amp;text=&amp;oracle=1&amp;textmatch=AND&amp;c_all=All&amp;multicolor=&amp;colormatch=OR&amp;colorexclude=1&amp;card_type_match=OR&amp;crittermatch=OR&amp;r_all=All&amp;s%5B%5D=5336&amp;foil=foil&amp;g_all=All&amp;lang%5B%5D=1&amp;cmcop=%3D&amp;cmc=&amp;ccl=0&amp;ccu=99&amp;pwrop=%3D&amp;pwr=&amp;mincost=0.00&amp;maxcost=99999.99&amp;tghop=%3D&amp;tgh=&amp;sort1=4&amp;sort2=1&amp;sort3=10&amp;sort4=0&amp;display=1&amp;numpage=25</v>
      </c>
      <c r="K61" s="8" t="s">
        <v>335</v>
      </c>
    </row>
    <row r="62" spans="2:11" x14ac:dyDescent="0.25">
      <c r="B62" s="1" t="s">
        <v>44</v>
      </c>
      <c r="C62" s="2">
        <v>3.99</v>
      </c>
      <c r="D62" s="1" t="s">
        <v>8</v>
      </c>
      <c r="E62" s="1" t="str">
        <f t="shared" si="1"/>
        <v>foil</v>
      </c>
      <c r="F62" s="1" t="s">
        <v>208</v>
      </c>
      <c r="G62" s="1">
        <f>VLOOKUP(F62,Sets!A:B,2,FALSE)</f>
        <v>5288</v>
      </c>
      <c r="H62" s="1">
        <v>1</v>
      </c>
      <c r="I62" s="2">
        <f t="shared" si="4"/>
        <v>3.99</v>
      </c>
      <c r="J62" s="7" t="str">
        <f t="shared" si="2"/>
        <v>http://www.starcitygames.com/results?name=Yisan%2C%20the%20Wanderer%20Bard&amp;namematch=AND&amp;text=&amp;oracle=1&amp;textmatch=AND&amp;c_all=All&amp;multicolor=&amp;colormatch=OR&amp;colorexclude=1&amp;card_type_match=OR&amp;crittermatch=OR&amp;r_all=All&amp;s%5B%5D=5288&amp;foil=foil&amp;g_all=All&amp;lang%5B%5D=1&amp;cmcop=%3D&amp;cmc=&amp;ccl=0&amp;ccu=99&amp;pwrop=%3D&amp;pwr=&amp;mincost=0.00&amp;maxcost=99999.99&amp;tghop=%3D&amp;tgh=&amp;sort1=4&amp;sort2=1&amp;sort3=10&amp;sort4=0&amp;display=1&amp;numpage=25</v>
      </c>
      <c r="K62" s="8" t="s">
        <v>336</v>
      </c>
    </row>
    <row r="63" spans="2:11" x14ac:dyDescent="0.25">
      <c r="B63" s="1" t="s">
        <v>50</v>
      </c>
      <c r="C63" s="2">
        <v>1.99</v>
      </c>
      <c r="D63" s="1" t="s">
        <v>8</v>
      </c>
      <c r="E63" s="1" t="str">
        <f t="shared" si="1"/>
        <v>foil</v>
      </c>
      <c r="F63" s="1" t="s">
        <v>75</v>
      </c>
      <c r="G63" s="1">
        <f>VLOOKUP(F63,Sets!A:B,2,FALSE)</f>
        <v>5304</v>
      </c>
      <c r="H63" s="1">
        <v>1</v>
      </c>
      <c r="I63" s="2">
        <f t="shared" si="4"/>
        <v>1.99</v>
      </c>
      <c r="J63" s="7" t="str">
        <f t="shared" si="2"/>
        <v>http://www.starcitygames.com/results?name=Wildfire&amp;namematch=AND&amp;text=&amp;oracle=1&amp;textmatch=AND&amp;c_all=All&amp;multicolor=&amp;colormatch=OR&amp;colorexclude=1&amp;card_type_match=OR&amp;crittermatch=OR&amp;r_all=All&amp;s%5B%5D=5304&amp;foil=foil&amp;g_all=All&amp;lang%5B%5D=1&amp;cmcop=%3D&amp;cmc=&amp;ccl=0&amp;ccu=99&amp;pwrop=%3D&amp;pwr=&amp;mincost=0.00&amp;maxcost=99999.99&amp;tghop=%3D&amp;tgh=&amp;sort1=4&amp;sort2=1&amp;sort3=10&amp;sort4=0&amp;display=1&amp;numpage=25</v>
      </c>
      <c r="K63" s="8" t="s">
        <v>337</v>
      </c>
    </row>
    <row r="64" spans="2:11" x14ac:dyDescent="0.25">
      <c r="C64" s="2"/>
      <c r="I64" s="2"/>
    </row>
    <row r="65" spans="3:10" x14ac:dyDescent="0.25">
      <c r="C65" s="2"/>
      <c r="I65" s="10">
        <f>SUM(I3:I63)</f>
        <v>748.35000000000025</v>
      </c>
      <c r="J65" s="4" t="s">
        <v>47</v>
      </c>
    </row>
    <row r="66" spans="3:10" x14ac:dyDescent="0.25">
      <c r="C66" s="2"/>
    </row>
    <row r="67" spans="3:10" x14ac:dyDescent="0.25">
      <c r="C67" s="2"/>
    </row>
    <row r="68" spans="3:10" x14ac:dyDescent="0.25">
      <c r="C68" s="2"/>
    </row>
    <row r="69" spans="3:10" x14ac:dyDescent="0.25">
      <c r="C69" s="2"/>
    </row>
    <row r="70" spans="3:10" x14ac:dyDescent="0.25">
      <c r="C70" s="2"/>
    </row>
    <row r="71" spans="3:10" x14ac:dyDescent="0.25">
      <c r="C71" s="2"/>
    </row>
    <row r="72" spans="3:10" x14ac:dyDescent="0.25">
      <c r="C72" s="2"/>
    </row>
    <row r="73" spans="3:10" x14ac:dyDescent="0.25">
      <c r="C73" s="2"/>
    </row>
    <row r="74" spans="3:10" x14ac:dyDescent="0.25">
      <c r="C74" s="2"/>
    </row>
    <row r="75" spans="3:10" x14ac:dyDescent="0.25">
      <c r="C75" s="2"/>
    </row>
    <row r="76" spans="3:10" x14ac:dyDescent="0.25">
      <c r="C76" s="2"/>
    </row>
    <row r="77" spans="3:10" x14ac:dyDescent="0.25">
      <c r="C77" s="2"/>
    </row>
    <row r="78" spans="3:10" x14ac:dyDescent="0.25">
      <c r="C78" s="2"/>
    </row>
    <row r="79" spans="3:10" x14ac:dyDescent="0.25">
      <c r="C79" s="2"/>
    </row>
    <row r="80" spans="3:10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  <row r="99" spans="3:3" x14ac:dyDescent="0.25">
      <c r="C99" s="2"/>
    </row>
    <row r="100" spans="3:3" x14ac:dyDescent="0.25">
      <c r="C100" s="2"/>
    </row>
    <row r="101" spans="3:3" x14ac:dyDescent="0.25">
      <c r="C101" s="2"/>
    </row>
    <row r="102" spans="3:3" x14ac:dyDescent="0.25">
      <c r="C102" s="2"/>
    </row>
    <row r="103" spans="3:3" x14ac:dyDescent="0.25">
      <c r="C103" s="2"/>
    </row>
    <row r="104" spans="3:3" x14ac:dyDescent="0.25">
      <c r="C104" s="2"/>
    </row>
    <row r="105" spans="3:3" x14ac:dyDescent="0.25">
      <c r="C105" s="2"/>
    </row>
    <row r="106" spans="3:3" x14ac:dyDescent="0.25">
      <c r="C106" s="2"/>
    </row>
    <row r="107" spans="3:3" x14ac:dyDescent="0.25">
      <c r="C107" s="2"/>
    </row>
    <row r="108" spans="3:3" x14ac:dyDescent="0.25">
      <c r="C108" s="2"/>
    </row>
    <row r="109" spans="3:3" x14ac:dyDescent="0.25">
      <c r="C109" s="2"/>
    </row>
    <row r="110" spans="3:3" x14ac:dyDescent="0.25">
      <c r="C110" s="2"/>
    </row>
    <row r="111" spans="3:3" x14ac:dyDescent="0.25">
      <c r="C111" s="2"/>
    </row>
    <row r="112" spans="3:3" x14ac:dyDescent="0.25">
      <c r="C112" s="2"/>
    </row>
    <row r="113" spans="3:3" x14ac:dyDescent="0.25">
      <c r="C113" s="2"/>
    </row>
    <row r="114" spans="3:3" x14ac:dyDescent="0.25">
      <c r="C114" s="2"/>
    </row>
    <row r="115" spans="3:3" x14ac:dyDescent="0.25">
      <c r="C115" s="2"/>
    </row>
    <row r="116" spans="3:3" x14ac:dyDescent="0.25">
      <c r="C116" s="2"/>
    </row>
    <row r="117" spans="3:3" x14ac:dyDescent="0.25">
      <c r="C117" s="2"/>
    </row>
    <row r="118" spans="3:3" x14ac:dyDescent="0.25">
      <c r="C118" s="2"/>
    </row>
    <row r="119" spans="3:3" x14ac:dyDescent="0.25">
      <c r="C119" s="2"/>
    </row>
    <row r="120" spans="3:3" x14ac:dyDescent="0.25">
      <c r="C120" s="2"/>
    </row>
    <row r="121" spans="3:3" x14ac:dyDescent="0.25">
      <c r="C121" s="2"/>
    </row>
    <row r="122" spans="3:3" x14ac:dyDescent="0.25">
      <c r="C122" s="2"/>
    </row>
    <row r="123" spans="3:3" x14ac:dyDescent="0.25">
      <c r="C123" s="2"/>
    </row>
    <row r="124" spans="3:3" x14ac:dyDescent="0.25">
      <c r="C124" s="2"/>
    </row>
    <row r="125" spans="3:3" x14ac:dyDescent="0.25">
      <c r="C125" s="2"/>
    </row>
    <row r="126" spans="3:3" x14ac:dyDescent="0.25">
      <c r="C126" s="2"/>
    </row>
    <row r="127" spans="3:3" x14ac:dyDescent="0.25">
      <c r="C127" s="2"/>
    </row>
    <row r="128" spans="3:3" x14ac:dyDescent="0.25">
      <c r="C128" s="2"/>
    </row>
    <row r="129" spans="3:3" x14ac:dyDescent="0.25">
      <c r="C129" s="2"/>
    </row>
    <row r="130" spans="3:3" x14ac:dyDescent="0.25">
      <c r="C130" s="2"/>
    </row>
    <row r="131" spans="3:3" x14ac:dyDescent="0.25">
      <c r="C131" s="2"/>
    </row>
    <row r="132" spans="3:3" x14ac:dyDescent="0.25">
      <c r="C132" s="2"/>
    </row>
    <row r="133" spans="3:3" x14ac:dyDescent="0.25">
      <c r="C133" s="2"/>
    </row>
    <row r="134" spans="3:3" x14ac:dyDescent="0.25">
      <c r="C134" s="2"/>
    </row>
    <row r="135" spans="3:3" x14ac:dyDescent="0.25">
      <c r="C135" s="2"/>
    </row>
    <row r="136" spans="3:3" x14ac:dyDescent="0.25">
      <c r="C136" s="2"/>
    </row>
    <row r="137" spans="3:3" x14ac:dyDescent="0.25">
      <c r="C137" s="2"/>
    </row>
    <row r="138" spans="3:3" x14ac:dyDescent="0.25">
      <c r="C138" s="2"/>
    </row>
    <row r="139" spans="3:3" x14ac:dyDescent="0.25">
      <c r="C139" s="2"/>
    </row>
    <row r="140" spans="3:3" x14ac:dyDescent="0.25">
      <c r="C140" s="2"/>
    </row>
    <row r="141" spans="3:3" x14ac:dyDescent="0.25">
      <c r="C141" s="2"/>
    </row>
    <row r="142" spans="3:3" x14ac:dyDescent="0.25">
      <c r="C142" s="2"/>
    </row>
    <row r="143" spans="3:3" x14ac:dyDescent="0.25">
      <c r="C143" s="2"/>
    </row>
    <row r="144" spans="3:3" x14ac:dyDescent="0.25">
      <c r="C144" s="2"/>
    </row>
    <row r="145" spans="3:3" x14ac:dyDescent="0.25">
      <c r="C145" s="2"/>
    </row>
    <row r="146" spans="3:3" x14ac:dyDescent="0.25">
      <c r="C146" s="2"/>
    </row>
    <row r="147" spans="3:3" x14ac:dyDescent="0.25">
      <c r="C147" s="2"/>
    </row>
    <row r="148" spans="3:3" x14ac:dyDescent="0.25">
      <c r="C148" s="2"/>
    </row>
    <row r="149" spans="3:3" x14ac:dyDescent="0.25">
      <c r="C149" s="2"/>
    </row>
    <row r="150" spans="3:3" x14ac:dyDescent="0.25">
      <c r="C150" s="2"/>
    </row>
    <row r="151" spans="3:3" x14ac:dyDescent="0.25">
      <c r="C151" s="2"/>
    </row>
    <row r="152" spans="3:3" x14ac:dyDescent="0.25">
      <c r="C152" s="2"/>
    </row>
    <row r="153" spans="3:3" x14ac:dyDescent="0.25">
      <c r="C153" s="2"/>
    </row>
    <row r="154" spans="3:3" x14ac:dyDescent="0.25">
      <c r="C154" s="2"/>
    </row>
    <row r="155" spans="3:3" x14ac:dyDescent="0.25">
      <c r="C155" s="2"/>
    </row>
    <row r="156" spans="3:3" x14ac:dyDescent="0.25">
      <c r="C156" s="2"/>
    </row>
    <row r="157" spans="3:3" x14ac:dyDescent="0.25">
      <c r="C157" s="2"/>
    </row>
    <row r="158" spans="3:3" x14ac:dyDescent="0.25">
      <c r="C158" s="2"/>
    </row>
    <row r="159" spans="3:3" x14ac:dyDescent="0.25">
      <c r="C159" s="2"/>
    </row>
    <row r="160" spans="3:3" x14ac:dyDescent="0.25">
      <c r="C160" s="2"/>
    </row>
    <row r="161" spans="3:3" x14ac:dyDescent="0.25">
      <c r="C161" s="2"/>
    </row>
    <row r="162" spans="3:3" x14ac:dyDescent="0.25">
      <c r="C162" s="2"/>
    </row>
    <row r="163" spans="3:3" x14ac:dyDescent="0.25">
      <c r="C163" s="2"/>
    </row>
    <row r="164" spans="3:3" x14ac:dyDescent="0.25">
      <c r="C164" s="2"/>
    </row>
    <row r="165" spans="3:3" x14ac:dyDescent="0.25">
      <c r="C165" s="2"/>
    </row>
    <row r="166" spans="3:3" x14ac:dyDescent="0.25">
      <c r="C166" s="2"/>
    </row>
    <row r="167" spans="3:3" x14ac:dyDescent="0.25">
      <c r="C167" s="2"/>
    </row>
    <row r="168" spans="3:3" x14ac:dyDescent="0.25">
      <c r="C168" s="2"/>
    </row>
    <row r="169" spans="3:3" x14ac:dyDescent="0.25">
      <c r="C169" s="2"/>
    </row>
    <row r="170" spans="3:3" x14ac:dyDescent="0.25">
      <c r="C170" s="2"/>
    </row>
    <row r="171" spans="3:3" x14ac:dyDescent="0.25">
      <c r="C171" s="2"/>
    </row>
    <row r="172" spans="3:3" x14ac:dyDescent="0.25">
      <c r="C172" s="2"/>
    </row>
    <row r="173" spans="3:3" x14ac:dyDescent="0.25">
      <c r="C173" s="2"/>
    </row>
    <row r="174" spans="3:3" x14ac:dyDescent="0.25">
      <c r="C174" s="2"/>
    </row>
    <row r="175" spans="3:3" x14ac:dyDescent="0.25">
      <c r="C175" s="2"/>
    </row>
    <row r="176" spans="3: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2"/>
    </row>
    <row r="202" spans="3:3" x14ac:dyDescent="0.25">
      <c r="C202" s="2"/>
    </row>
    <row r="203" spans="3:3" x14ac:dyDescent="0.25">
      <c r="C203" s="2"/>
    </row>
    <row r="204" spans="3:3" x14ac:dyDescent="0.25">
      <c r="C204" s="2"/>
    </row>
    <row r="205" spans="3:3" x14ac:dyDescent="0.25">
      <c r="C205" s="2"/>
    </row>
    <row r="206" spans="3:3" x14ac:dyDescent="0.25">
      <c r="C206" s="2"/>
    </row>
    <row r="207" spans="3:3" x14ac:dyDescent="0.25">
      <c r="C207" s="2"/>
    </row>
    <row r="208" spans="3:3" x14ac:dyDescent="0.25">
      <c r="C208" s="2"/>
    </row>
    <row r="209" spans="3:3" x14ac:dyDescent="0.25">
      <c r="C209" s="2"/>
    </row>
    <row r="210" spans="3:3" x14ac:dyDescent="0.25">
      <c r="C210" s="2"/>
    </row>
    <row r="211" spans="3:3" x14ac:dyDescent="0.25">
      <c r="C211" s="2"/>
    </row>
    <row r="212" spans="3:3" x14ac:dyDescent="0.25">
      <c r="C212" s="2"/>
    </row>
    <row r="213" spans="3:3" x14ac:dyDescent="0.25">
      <c r="C213" s="2"/>
    </row>
    <row r="214" spans="3:3" x14ac:dyDescent="0.25">
      <c r="C214" s="2"/>
    </row>
    <row r="215" spans="3:3" x14ac:dyDescent="0.25">
      <c r="C215" s="2"/>
    </row>
    <row r="216" spans="3:3" x14ac:dyDescent="0.25">
      <c r="C216" s="2"/>
    </row>
    <row r="217" spans="3:3" x14ac:dyDescent="0.25">
      <c r="C217" s="2"/>
    </row>
    <row r="218" spans="3:3" x14ac:dyDescent="0.25">
      <c r="C218" s="2"/>
    </row>
    <row r="219" spans="3:3" x14ac:dyDescent="0.25">
      <c r="C219" s="2"/>
    </row>
    <row r="220" spans="3:3" x14ac:dyDescent="0.25">
      <c r="C220" s="2"/>
    </row>
    <row r="221" spans="3:3" x14ac:dyDescent="0.25">
      <c r="C221" s="2"/>
    </row>
    <row r="222" spans="3:3" x14ac:dyDescent="0.25">
      <c r="C222" s="2"/>
    </row>
    <row r="223" spans="3:3" x14ac:dyDescent="0.25">
      <c r="C223" s="2"/>
    </row>
    <row r="224" spans="3:3" x14ac:dyDescent="0.25">
      <c r="C224" s="2"/>
    </row>
    <row r="225" spans="3:3" x14ac:dyDescent="0.25">
      <c r="C225" s="2"/>
    </row>
    <row r="226" spans="3:3" x14ac:dyDescent="0.25">
      <c r="C226" s="2"/>
    </row>
    <row r="227" spans="3:3" x14ac:dyDescent="0.25">
      <c r="C227" s="2"/>
    </row>
    <row r="228" spans="3:3" x14ac:dyDescent="0.25">
      <c r="C228" s="2"/>
    </row>
    <row r="229" spans="3:3" x14ac:dyDescent="0.25">
      <c r="C229" s="2"/>
    </row>
    <row r="230" spans="3:3" x14ac:dyDescent="0.25">
      <c r="C230" s="2"/>
    </row>
    <row r="231" spans="3:3" x14ac:dyDescent="0.25">
      <c r="C231" s="2"/>
    </row>
    <row r="232" spans="3:3" x14ac:dyDescent="0.25">
      <c r="C232" s="2"/>
    </row>
    <row r="233" spans="3:3" x14ac:dyDescent="0.25">
      <c r="C233" s="2"/>
    </row>
    <row r="234" spans="3:3" x14ac:dyDescent="0.25">
      <c r="C234" s="2"/>
    </row>
    <row r="235" spans="3:3" x14ac:dyDescent="0.25">
      <c r="C235" s="2"/>
    </row>
    <row r="236" spans="3:3" x14ac:dyDescent="0.25">
      <c r="C236" s="2"/>
    </row>
    <row r="237" spans="3:3" x14ac:dyDescent="0.25">
      <c r="C237" s="2"/>
    </row>
    <row r="238" spans="3:3" x14ac:dyDescent="0.25">
      <c r="C238" s="2"/>
    </row>
    <row r="239" spans="3:3" x14ac:dyDescent="0.25">
      <c r="C239" s="2"/>
    </row>
    <row r="240" spans="3:3" x14ac:dyDescent="0.25">
      <c r="C240" s="2"/>
    </row>
    <row r="241" spans="3:3" x14ac:dyDescent="0.25">
      <c r="C241" s="2"/>
    </row>
    <row r="242" spans="3:3" x14ac:dyDescent="0.25">
      <c r="C242" s="2"/>
    </row>
    <row r="243" spans="3:3" x14ac:dyDescent="0.25">
      <c r="C243" s="2"/>
    </row>
    <row r="244" spans="3:3" x14ac:dyDescent="0.25">
      <c r="C244" s="2"/>
    </row>
    <row r="245" spans="3:3" x14ac:dyDescent="0.25">
      <c r="C245" s="2"/>
    </row>
    <row r="246" spans="3:3" x14ac:dyDescent="0.25">
      <c r="C246" s="2"/>
    </row>
    <row r="247" spans="3:3" x14ac:dyDescent="0.25">
      <c r="C247" s="2"/>
    </row>
    <row r="248" spans="3:3" x14ac:dyDescent="0.25">
      <c r="C248" s="2"/>
    </row>
    <row r="249" spans="3:3" x14ac:dyDescent="0.25">
      <c r="C249" s="2"/>
    </row>
    <row r="250" spans="3:3" x14ac:dyDescent="0.25">
      <c r="C250" s="2"/>
    </row>
    <row r="251" spans="3:3" x14ac:dyDescent="0.25">
      <c r="C251" s="2"/>
    </row>
    <row r="252" spans="3:3" x14ac:dyDescent="0.25">
      <c r="C252" s="2"/>
    </row>
    <row r="253" spans="3:3" x14ac:dyDescent="0.25">
      <c r="C253" s="2"/>
    </row>
    <row r="254" spans="3:3" x14ac:dyDescent="0.25">
      <c r="C254" s="2"/>
    </row>
    <row r="255" spans="3:3" x14ac:dyDescent="0.25">
      <c r="C255" s="2"/>
    </row>
    <row r="256" spans="3:3" x14ac:dyDescent="0.25">
      <c r="C256" s="2"/>
    </row>
    <row r="257" spans="3:3" x14ac:dyDescent="0.25">
      <c r="C257" s="2"/>
    </row>
    <row r="258" spans="3:3" x14ac:dyDescent="0.25">
      <c r="C258" s="2"/>
    </row>
    <row r="259" spans="3:3" x14ac:dyDescent="0.25">
      <c r="C259" s="2"/>
    </row>
    <row r="260" spans="3:3" x14ac:dyDescent="0.25">
      <c r="C260" s="2"/>
    </row>
    <row r="261" spans="3:3" x14ac:dyDescent="0.25">
      <c r="C261" s="2"/>
    </row>
    <row r="262" spans="3:3" x14ac:dyDescent="0.25">
      <c r="C262" s="2"/>
    </row>
    <row r="263" spans="3:3" x14ac:dyDescent="0.25">
      <c r="C263" s="2"/>
    </row>
    <row r="264" spans="3:3" x14ac:dyDescent="0.25">
      <c r="C264" s="2"/>
    </row>
    <row r="265" spans="3:3" x14ac:dyDescent="0.25">
      <c r="C265" s="2"/>
    </row>
    <row r="266" spans="3:3" x14ac:dyDescent="0.25">
      <c r="C266" s="2"/>
    </row>
    <row r="267" spans="3:3" x14ac:dyDescent="0.25">
      <c r="C267" s="2"/>
    </row>
    <row r="268" spans="3:3" x14ac:dyDescent="0.25">
      <c r="C268" s="2"/>
    </row>
    <row r="269" spans="3:3" x14ac:dyDescent="0.25">
      <c r="C269" s="2"/>
    </row>
    <row r="270" spans="3:3" x14ac:dyDescent="0.25">
      <c r="C270" s="2"/>
    </row>
    <row r="271" spans="3:3" x14ac:dyDescent="0.25">
      <c r="C271" s="2"/>
    </row>
    <row r="272" spans="3:3" x14ac:dyDescent="0.25">
      <c r="C272" s="2"/>
    </row>
    <row r="273" spans="3:3" x14ac:dyDescent="0.25">
      <c r="C273" s="2"/>
    </row>
    <row r="274" spans="3:3" x14ac:dyDescent="0.25">
      <c r="C274" s="2"/>
    </row>
    <row r="275" spans="3:3" x14ac:dyDescent="0.25">
      <c r="C275" s="2"/>
    </row>
    <row r="276" spans="3:3" x14ac:dyDescent="0.25">
      <c r="C276" s="2"/>
    </row>
    <row r="277" spans="3:3" x14ac:dyDescent="0.25">
      <c r="C277" s="2"/>
    </row>
    <row r="278" spans="3:3" x14ac:dyDescent="0.25">
      <c r="C278" s="2"/>
    </row>
    <row r="279" spans="3:3" x14ac:dyDescent="0.25">
      <c r="C279" s="2"/>
    </row>
    <row r="280" spans="3:3" x14ac:dyDescent="0.25">
      <c r="C280" s="2"/>
    </row>
    <row r="281" spans="3:3" x14ac:dyDescent="0.25">
      <c r="C281" s="2"/>
    </row>
    <row r="282" spans="3:3" x14ac:dyDescent="0.25">
      <c r="C282" s="2"/>
    </row>
    <row r="283" spans="3:3" x14ac:dyDescent="0.25">
      <c r="C283" s="2"/>
    </row>
    <row r="284" spans="3:3" x14ac:dyDescent="0.25">
      <c r="C284" s="2"/>
    </row>
    <row r="285" spans="3:3" x14ac:dyDescent="0.25">
      <c r="C285" s="2"/>
    </row>
    <row r="286" spans="3:3" x14ac:dyDescent="0.25">
      <c r="C286" s="2"/>
    </row>
    <row r="287" spans="3:3" x14ac:dyDescent="0.25">
      <c r="C287" s="2"/>
    </row>
    <row r="288" spans="3:3" x14ac:dyDescent="0.25">
      <c r="C288" s="2"/>
    </row>
    <row r="289" spans="3:3" x14ac:dyDescent="0.25">
      <c r="C289" s="2"/>
    </row>
    <row r="290" spans="3:3" x14ac:dyDescent="0.25">
      <c r="C290" s="2"/>
    </row>
    <row r="291" spans="3:3" x14ac:dyDescent="0.25">
      <c r="C291" s="2"/>
    </row>
    <row r="292" spans="3:3" x14ac:dyDescent="0.25">
      <c r="C292" s="2"/>
    </row>
    <row r="293" spans="3:3" x14ac:dyDescent="0.25">
      <c r="C293" s="2"/>
    </row>
    <row r="294" spans="3:3" x14ac:dyDescent="0.25">
      <c r="C294" s="2"/>
    </row>
    <row r="295" spans="3:3" x14ac:dyDescent="0.25">
      <c r="C295" s="2"/>
    </row>
    <row r="296" spans="3:3" x14ac:dyDescent="0.25">
      <c r="C296" s="2"/>
    </row>
    <row r="297" spans="3:3" x14ac:dyDescent="0.25">
      <c r="C297" s="2"/>
    </row>
    <row r="298" spans="3:3" x14ac:dyDescent="0.25">
      <c r="C298" s="2"/>
    </row>
    <row r="299" spans="3:3" x14ac:dyDescent="0.25">
      <c r="C299" s="2"/>
    </row>
    <row r="300" spans="3:3" x14ac:dyDescent="0.25">
      <c r="C300" s="2"/>
    </row>
    <row r="301" spans="3:3" x14ac:dyDescent="0.25">
      <c r="C301" s="2"/>
    </row>
    <row r="302" spans="3:3" x14ac:dyDescent="0.25">
      <c r="C302" s="2"/>
    </row>
    <row r="303" spans="3:3" x14ac:dyDescent="0.25">
      <c r="C303" s="2"/>
    </row>
    <row r="304" spans="3:3" x14ac:dyDescent="0.25">
      <c r="C304" s="2"/>
    </row>
    <row r="305" spans="3:3" x14ac:dyDescent="0.25">
      <c r="C305" s="2"/>
    </row>
    <row r="306" spans="3:3" x14ac:dyDescent="0.25">
      <c r="C306" s="2"/>
    </row>
    <row r="307" spans="3:3" x14ac:dyDescent="0.25">
      <c r="C307" s="2"/>
    </row>
    <row r="308" spans="3:3" x14ac:dyDescent="0.25">
      <c r="C308" s="2"/>
    </row>
    <row r="309" spans="3:3" x14ac:dyDescent="0.25">
      <c r="C309" s="2"/>
    </row>
    <row r="310" spans="3:3" x14ac:dyDescent="0.25">
      <c r="C310" s="2"/>
    </row>
    <row r="311" spans="3:3" x14ac:dyDescent="0.25">
      <c r="C311" s="2"/>
    </row>
    <row r="312" spans="3:3" x14ac:dyDescent="0.25">
      <c r="C312" s="2"/>
    </row>
    <row r="313" spans="3:3" x14ac:dyDescent="0.25">
      <c r="C313" s="2"/>
    </row>
    <row r="314" spans="3:3" x14ac:dyDescent="0.25">
      <c r="C314" s="2"/>
    </row>
    <row r="315" spans="3:3" x14ac:dyDescent="0.25">
      <c r="C315" s="2"/>
    </row>
    <row r="316" spans="3:3" x14ac:dyDescent="0.25">
      <c r="C316" s="2"/>
    </row>
    <row r="317" spans="3:3" x14ac:dyDescent="0.25">
      <c r="C317" s="2"/>
    </row>
    <row r="318" spans="3:3" x14ac:dyDescent="0.25">
      <c r="C318" s="2"/>
    </row>
    <row r="319" spans="3:3" x14ac:dyDescent="0.25">
      <c r="C319" s="2"/>
    </row>
    <row r="320" spans="3:3" x14ac:dyDescent="0.25">
      <c r="C320" s="2"/>
    </row>
    <row r="321" spans="3:3" x14ac:dyDescent="0.25">
      <c r="C321" s="2"/>
    </row>
    <row r="322" spans="3:3" x14ac:dyDescent="0.25">
      <c r="C322" s="2"/>
    </row>
    <row r="323" spans="3:3" x14ac:dyDescent="0.25">
      <c r="C323" s="2"/>
    </row>
    <row r="324" spans="3:3" x14ac:dyDescent="0.25">
      <c r="C324" s="2"/>
    </row>
    <row r="325" spans="3:3" x14ac:dyDescent="0.25">
      <c r="C325" s="2"/>
    </row>
    <row r="326" spans="3:3" x14ac:dyDescent="0.25">
      <c r="C326" s="2"/>
    </row>
    <row r="327" spans="3:3" x14ac:dyDescent="0.25">
      <c r="C327" s="2"/>
    </row>
    <row r="328" spans="3:3" x14ac:dyDescent="0.25">
      <c r="C328" s="2"/>
    </row>
    <row r="329" spans="3:3" x14ac:dyDescent="0.25">
      <c r="C329" s="2"/>
    </row>
    <row r="330" spans="3:3" x14ac:dyDescent="0.25">
      <c r="C330" s="2"/>
    </row>
    <row r="331" spans="3:3" x14ac:dyDescent="0.25">
      <c r="C331" s="2"/>
    </row>
    <row r="332" spans="3:3" x14ac:dyDescent="0.25">
      <c r="C332" s="2"/>
    </row>
    <row r="333" spans="3:3" x14ac:dyDescent="0.25">
      <c r="C333" s="2"/>
    </row>
    <row r="334" spans="3:3" x14ac:dyDescent="0.25">
      <c r="C334" s="2"/>
    </row>
    <row r="335" spans="3:3" x14ac:dyDescent="0.25">
      <c r="C335" s="2"/>
    </row>
    <row r="336" spans="3:3" x14ac:dyDescent="0.25">
      <c r="C336" s="2"/>
    </row>
    <row r="337" spans="3:3" x14ac:dyDescent="0.25">
      <c r="C337" s="2"/>
    </row>
    <row r="338" spans="3:3" x14ac:dyDescent="0.25">
      <c r="C338" s="2"/>
    </row>
    <row r="339" spans="3:3" x14ac:dyDescent="0.25">
      <c r="C339" s="2"/>
    </row>
    <row r="340" spans="3:3" x14ac:dyDescent="0.25">
      <c r="C340" s="2"/>
    </row>
    <row r="341" spans="3:3" x14ac:dyDescent="0.25">
      <c r="C341" s="2"/>
    </row>
    <row r="342" spans="3:3" x14ac:dyDescent="0.25">
      <c r="C342" s="2"/>
    </row>
    <row r="343" spans="3:3" x14ac:dyDescent="0.25">
      <c r="C343" s="2"/>
    </row>
    <row r="344" spans="3:3" x14ac:dyDescent="0.25">
      <c r="C344" s="2"/>
    </row>
    <row r="345" spans="3:3" x14ac:dyDescent="0.25">
      <c r="C345" s="2"/>
    </row>
    <row r="346" spans="3:3" x14ac:dyDescent="0.25">
      <c r="C346" s="2"/>
    </row>
    <row r="347" spans="3:3" x14ac:dyDescent="0.25">
      <c r="C347" s="2"/>
    </row>
    <row r="348" spans="3:3" x14ac:dyDescent="0.25">
      <c r="C348" s="2"/>
    </row>
    <row r="349" spans="3:3" x14ac:dyDescent="0.25">
      <c r="C349" s="2"/>
    </row>
    <row r="350" spans="3:3" x14ac:dyDescent="0.25">
      <c r="C350" s="2"/>
    </row>
    <row r="351" spans="3:3" x14ac:dyDescent="0.25">
      <c r="C351" s="2"/>
    </row>
    <row r="352" spans="3:3" x14ac:dyDescent="0.25">
      <c r="C352" s="2"/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  <row r="369" spans="3:3" x14ac:dyDescent="0.25">
      <c r="C369" s="2"/>
    </row>
    <row r="370" spans="3:3" x14ac:dyDescent="0.25">
      <c r="C370" s="2"/>
    </row>
    <row r="371" spans="3:3" x14ac:dyDescent="0.25">
      <c r="C371" s="2"/>
    </row>
    <row r="372" spans="3:3" x14ac:dyDescent="0.25">
      <c r="C372" s="2"/>
    </row>
    <row r="373" spans="3:3" x14ac:dyDescent="0.25">
      <c r="C373" s="2"/>
    </row>
    <row r="374" spans="3:3" x14ac:dyDescent="0.25">
      <c r="C374" s="2"/>
    </row>
    <row r="375" spans="3:3" x14ac:dyDescent="0.25">
      <c r="C375" s="2"/>
    </row>
    <row r="376" spans="3:3" x14ac:dyDescent="0.25">
      <c r="C376" s="2"/>
    </row>
    <row r="377" spans="3:3" x14ac:dyDescent="0.25">
      <c r="C377" s="2"/>
    </row>
    <row r="378" spans="3:3" x14ac:dyDescent="0.25">
      <c r="C378" s="2"/>
    </row>
    <row r="379" spans="3:3" x14ac:dyDescent="0.25">
      <c r="C379" s="2"/>
    </row>
    <row r="380" spans="3:3" x14ac:dyDescent="0.25">
      <c r="C380" s="2"/>
    </row>
    <row r="381" spans="3:3" x14ac:dyDescent="0.25">
      <c r="C381" s="2"/>
    </row>
    <row r="382" spans="3:3" x14ac:dyDescent="0.25">
      <c r="C382" s="2"/>
    </row>
    <row r="383" spans="3:3" x14ac:dyDescent="0.25">
      <c r="C383" s="2"/>
    </row>
    <row r="384" spans="3:3" x14ac:dyDescent="0.25">
      <c r="C384" s="2"/>
    </row>
    <row r="385" spans="3:3" x14ac:dyDescent="0.25">
      <c r="C385" s="2"/>
    </row>
    <row r="386" spans="3:3" x14ac:dyDescent="0.25">
      <c r="C386" s="2"/>
    </row>
    <row r="387" spans="3:3" x14ac:dyDescent="0.25">
      <c r="C387" s="2"/>
    </row>
    <row r="388" spans="3:3" x14ac:dyDescent="0.25">
      <c r="C388" s="2"/>
    </row>
    <row r="389" spans="3:3" x14ac:dyDescent="0.25">
      <c r="C389" s="2"/>
    </row>
    <row r="390" spans="3:3" x14ac:dyDescent="0.25">
      <c r="C390" s="2"/>
    </row>
    <row r="391" spans="3:3" x14ac:dyDescent="0.25">
      <c r="C391" s="2"/>
    </row>
    <row r="392" spans="3:3" x14ac:dyDescent="0.25">
      <c r="C392" s="2"/>
    </row>
    <row r="393" spans="3:3" x14ac:dyDescent="0.25">
      <c r="C393" s="2"/>
    </row>
    <row r="394" spans="3:3" x14ac:dyDescent="0.25">
      <c r="C394" s="2"/>
    </row>
    <row r="395" spans="3:3" x14ac:dyDescent="0.25">
      <c r="C395" s="2"/>
    </row>
    <row r="396" spans="3:3" x14ac:dyDescent="0.25">
      <c r="C396" s="2"/>
    </row>
    <row r="397" spans="3:3" x14ac:dyDescent="0.25">
      <c r="C397" s="2"/>
    </row>
    <row r="398" spans="3:3" x14ac:dyDescent="0.25">
      <c r="C398" s="2"/>
    </row>
    <row r="399" spans="3:3" x14ac:dyDescent="0.25">
      <c r="C399" s="2"/>
    </row>
    <row r="400" spans="3:3" x14ac:dyDescent="0.25">
      <c r="C400" s="2"/>
    </row>
    <row r="401" spans="3:3" x14ac:dyDescent="0.25">
      <c r="C401" s="2"/>
    </row>
    <row r="402" spans="3:3" x14ac:dyDescent="0.25">
      <c r="C402" s="2"/>
    </row>
    <row r="403" spans="3:3" x14ac:dyDescent="0.25">
      <c r="C403" s="2"/>
    </row>
    <row r="404" spans="3:3" x14ac:dyDescent="0.25">
      <c r="C404" s="2"/>
    </row>
    <row r="405" spans="3:3" x14ac:dyDescent="0.25">
      <c r="C405" s="2"/>
    </row>
    <row r="406" spans="3:3" x14ac:dyDescent="0.25">
      <c r="C406" s="2"/>
    </row>
    <row r="407" spans="3:3" x14ac:dyDescent="0.25">
      <c r="C407" s="2"/>
    </row>
    <row r="408" spans="3:3" x14ac:dyDescent="0.25">
      <c r="C408" s="2"/>
    </row>
    <row r="409" spans="3:3" x14ac:dyDescent="0.25">
      <c r="C409" s="2"/>
    </row>
    <row r="410" spans="3:3" x14ac:dyDescent="0.25">
      <c r="C410" s="2"/>
    </row>
    <row r="411" spans="3:3" x14ac:dyDescent="0.25">
      <c r="C411" s="2"/>
    </row>
    <row r="412" spans="3:3" x14ac:dyDescent="0.25">
      <c r="C412" s="2"/>
    </row>
    <row r="413" spans="3:3" x14ac:dyDescent="0.25">
      <c r="C413" s="2"/>
    </row>
    <row r="414" spans="3:3" x14ac:dyDescent="0.25">
      <c r="C414" s="2"/>
    </row>
    <row r="415" spans="3:3" x14ac:dyDescent="0.25">
      <c r="C415" s="2"/>
    </row>
    <row r="416" spans="3:3" x14ac:dyDescent="0.25">
      <c r="C416" s="2"/>
    </row>
    <row r="417" spans="3:3" x14ac:dyDescent="0.25">
      <c r="C417" s="2"/>
    </row>
    <row r="418" spans="3:3" x14ac:dyDescent="0.25">
      <c r="C418" s="2"/>
    </row>
    <row r="419" spans="3:3" x14ac:dyDescent="0.25">
      <c r="C419" s="2"/>
    </row>
    <row r="420" spans="3:3" x14ac:dyDescent="0.25">
      <c r="C420" s="2"/>
    </row>
    <row r="421" spans="3:3" x14ac:dyDescent="0.25">
      <c r="C421" s="2"/>
    </row>
    <row r="422" spans="3:3" x14ac:dyDescent="0.25">
      <c r="C422" s="2"/>
    </row>
    <row r="423" spans="3:3" x14ac:dyDescent="0.25">
      <c r="C423" s="2"/>
    </row>
    <row r="424" spans="3:3" x14ac:dyDescent="0.25">
      <c r="C424" s="2"/>
    </row>
    <row r="425" spans="3:3" x14ac:dyDescent="0.25">
      <c r="C425" s="2"/>
    </row>
    <row r="426" spans="3:3" x14ac:dyDescent="0.25">
      <c r="C426" s="2"/>
    </row>
    <row r="427" spans="3:3" x14ac:dyDescent="0.25">
      <c r="C427" s="2"/>
    </row>
    <row r="428" spans="3:3" x14ac:dyDescent="0.25">
      <c r="C428" s="2"/>
    </row>
    <row r="429" spans="3:3" x14ac:dyDescent="0.25">
      <c r="C429" s="2"/>
    </row>
    <row r="430" spans="3:3" x14ac:dyDescent="0.25">
      <c r="C430" s="2"/>
    </row>
    <row r="431" spans="3:3" x14ac:dyDescent="0.25">
      <c r="C431" s="2"/>
    </row>
    <row r="432" spans="3:3" x14ac:dyDescent="0.25">
      <c r="C432" s="2"/>
    </row>
    <row r="433" spans="3:3" x14ac:dyDescent="0.25">
      <c r="C433" s="2"/>
    </row>
    <row r="434" spans="3:3" x14ac:dyDescent="0.25">
      <c r="C434" s="2"/>
    </row>
    <row r="435" spans="3:3" x14ac:dyDescent="0.25">
      <c r="C435" s="2"/>
    </row>
    <row r="436" spans="3:3" x14ac:dyDescent="0.25">
      <c r="C436" s="2"/>
    </row>
    <row r="437" spans="3:3" x14ac:dyDescent="0.25">
      <c r="C437" s="2"/>
    </row>
    <row r="438" spans="3:3" x14ac:dyDescent="0.25">
      <c r="C438" s="2"/>
    </row>
    <row r="439" spans="3:3" x14ac:dyDescent="0.25">
      <c r="C439" s="2"/>
    </row>
    <row r="440" spans="3:3" x14ac:dyDescent="0.25">
      <c r="C440" s="2"/>
    </row>
    <row r="441" spans="3:3" x14ac:dyDescent="0.25">
      <c r="C441" s="2"/>
    </row>
    <row r="442" spans="3:3" x14ac:dyDescent="0.25">
      <c r="C442" s="2"/>
    </row>
    <row r="443" spans="3:3" x14ac:dyDescent="0.25">
      <c r="C443" s="2"/>
    </row>
    <row r="444" spans="3:3" x14ac:dyDescent="0.25">
      <c r="C444" s="2"/>
    </row>
    <row r="445" spans="3:3" x14ac:dyDescent="0.25">
      <c r="C445" s="2"/>
    </row>
    <row r="446" spans="3:3" x14ac:dyDescent="0.25">
      <c r="C446" s="2"/>
    </row>
    <row r="447" spans="3:3" x14ac:dyDescent="0.25">
      <c r="C447" s="2"/>
    </row>
    <row r="448" spans="3:3" x14ac:dyDescent="0.25">
      <c r="C448" s="2"/>
    </row>
    <row r="449" spans="3:3" x14ac:dyDescent="0.25">
      <c r="C449" s="2"/>
    </row>
    <row r="450" spans="3:3" x14ac:dyDescent="0.25">
      <c r="C450" s="2"/>
    </row>
    <row r="451" spans="3:3" x14ac:dyDescent="0.25">
      <c r="C451" s="2"/>
    </row>
    <row r="452" spans="3:3" x14ac:dyDescent="0.25">
      <c r="C452" s="2"/>
    </row>
    <row r="453" spans="3:3" x14ac:dyDescent="0.25">
      <c r="C453" s="2"/>
    </row>
    <row r="454" spans="3:3" x14ac:dyDescent="0.25">
      <c r="C454" s="2"/>
    </row>
    <row r="455" spans="3:3" x14ac:dyDescent="0.25">
      <c r="C455" s="2"/>
    </row>
    <row r="456" spans="3:3" x14ac:dyDescent="0.25">
      <c r="C456" s="2"/>
    </row>
    <row r="457" spans="3:3" x14ac:dyDescent="0.25">
      <c r="C457" s="2"/>
    </row>
    <row r="458" spans="3:3" x14ac:dyDescent="0.25">
      <c r="C458" s="2"/>
    </row>
    <row r="459" spans="3:3" x14ac:dyDescent="0.25">
      <c r="C459" s="2"/>
    </row>
    <row r="460" spans="3:3" x14ac:dyDescent="0.25">
      <c r="C460" s="2"/>
    </row>
    <row r="461" spans="3:3" x14ac:dyDescent="0.25">
      <c r="C461" s="2"/>
    </row>
    <row r="462" spans="3:3" x14ac:dyDescent="0.25">
      <c r="C462" s="2"/>
    </row>
    <row r="463" spans="3:3" x14ac:dyDescent="0.25">
      <c r="C463" s="2"/>
    </row>
    <row r="464" spans="3:3" x14ac:dyDescent="0.25">
      <c r="C464" s="2"/>
    </row>
    <row r="465" spans="3:3" x14ac:dyDescent="0.25">
      <c r="C465" s="2"/>
    </row>
    <row r="466" spans="3:3" x14ac:dyDescent="0.25">
      <c r="C466" s="2"/>
    </row>
    <row r="467" spans="3:3" x14ac:dyDescent="0.25">
      <c r="C467" s="2"/>
    </row>
    <row r="468" spans="3:3" x14ac:dyDescent="0.25">
      <c r="C468" s="2"/>
    </row>
    <row r="469" spans="3:3" x14ac:dyDescent="0.25">
      <c r="C469" s="2"/>
    </row>
    <row r="470" spans="3:3" x14ac:dyDescent="0.25">
      <c r="C470" s="2"/>
    </row>
    <row r="471" spans="3:3" x14ac:dyDescent="0.25">
      <c r="C471" s="2"/>
    </row>
    <row r="472" spans="3:3" x14ac:dyDescent="0.25">
      <c r="C472" s="2"/>
    </row>
    <row r="473" spans="3:3" x14ac:dyDescent="0.25">
      <c r="C473" s="2"/>
    </row>
    <row r="474" spans="3:3" x14ac:dyDescent="0.25">
      <c r="C474" s="2"/>
    </row>
    <row r="475" spans="3:3" x14ac:dyDescent="0.25">
      <c r="C475" s="2"/>
    </row>
    <row r="476" spans="3:3" x14ac:dyDescent="0.25">
      <c r="C476" s="2"/>
    </row>
    <row r="477" spans="3:3" x14ac:dyDescent="0.25">
      <c r="C477" s="2"/>
    </row>
    <row r="478" spans="3:3" x14ac:dyDescent="0.25">
      <c r="C478" s="2"/>
    </row>
    <row r="479" spans="3:3" x14ac:dyDescent="0.25">
      <c r="C479" s="2"/>
    </row>
    <row r="480" spans="3:3" x14ac:dyDescent="0.25">
      <c r="C480" s="2"/>
    </row>
    <row r="481" spans="3:3" x14ac:dyDescent="0.25">
      <c r="C481" s="2"/>
    </row>
    <row r="482" spans="3:3" x14ac:dyDescent="0.25">
      <c r="C482" s="2"/>
    </row>
    <row r="483" spans="3:3" x14ac:dyDescent="0.25">
      <c r="C483" s="2"/>
    </row>
    <row r="484" spans="3:3" x14ac:dyDescent="0.25">
      <c r="C484" s="2"/>
    </row>
    <row r="485" spans="3:3" x14ac:dyDescent="0.25">
      <c r="C485" s="2"/>
    </row>
    <row r="486" spans="3:3" x14ac:dyDescent="0.25">
      <c r="C486" s="2"/>
    </row>
    <row r="487" spans="3:3" x14ac:dyDescent="0.25">
      <c r="C487" s="2"/>
    </row>
    <row r="488" spans="3:3" x14ac:dyDescent="0.25">
      <c r="C488" s="2"/>
    </row>
    <row r="489" spans="3:3" x14ac:dyDescent="0.25">
      <c r="C489" s="2"/>
    </row>
    <row r="490" spans="3:3" x14ac:dyDescent="0.25">
      <c r="C490" s="2"/>
    </row>
    <row r="491" spans="3:3" x14ac:dyDescent="0.25">
      <c r="C491" s="2"/>
    </row>
    <row r="492" spans="3:3" x14ac:dyDescent="0.25">
      <c r="C492" s="2"/>
    </row>
    <row r="493" spans="3:3" x14ac:dyDescent="0.25">
      <c r="C493" s="2"/>
    </row>
    <row r="494" spans="3:3" x14ac:dyDescent="0.25">
      <c r="C494" s="2"/>
    </row>
    <row r="495" spans="3:3" x14ac:dyDescent="0.25">
      <c r="C495" s="2"/>
    </row>
    <row r="496" spans="3:3" x14ac:dyDescent="0.25">
      <c r="C496" s="2"/>
    </row>
    <row r="497" spans="3:3" x14ac:dyDescent="0.25">
      <c r="C497" s="2"/>
    </row>
    <row r="498" spans="3:3" x14ac:dyDescent="0.25">
      <c r="C498" s="2"/>
    </row>
    <row r="499" spans="3:3" x14ac:dyDescent="0.25">
      <c r="C499" s="2"/>
    </row>
    <row r="500" spans="3:3" x14ac:dyDescent="0.25">
      <c r="C500" s="2"/>
    </row>
    <row r="501" spans="3:3" x14ac:dyDescent="0.25">
      <c r="C501" s="2"/>
    </row>
    <row r="502" spans="3:3" x14ac:dyDescent="0.25">
      <c r="C502" s="2"/>
    </row>
    <row r="503" spans="3:3" x14ac:dyDescent="0.25">
      <c r="C503" s="2"/>
    </row>
    <row r="504" spans="3:3" x14ac:dyDescent="0.25">
      <c r="C504" s="2"/>
    </row>
    <row r="505" spans="3:3" x14ac:dyDescent="0.25">
      <c r="C505" s="2"/>
    </row>
    <row r="506" spans="3:3" x14ac:dyDescent="0.25">
      <c r="C506" s="2"/>
    </row>
    <row r="507" spans="3:3" x14ac:dyDescent="0.25">
      <c r="C507" s="2"/>
    </row>
    <row r="508" spans="3:3" x14ac:dyDescent="0.25">
      <c r="C508" s="2"/>
    </row>
    <row r="509" spans="3:3" x14ac:dyDescent="0.25">
      <c r="C509" s="2"/>
    </row>
    <row r="510" spans="3:3" x14ac:dyDescent="0.25">
      <c r="C510" s="2"/>
    </row>
    <row r="511" spans="3:3" x14ac:dyDescent="0.25">
      <c r="C511" s="2"/>
    </row>
    <row r="512" spans="3:3" x14ac:dyDescent="0.25">
      <c r="C512" s="2"/>
    </row>
    <row r="513" spans="3:3" x14ac:dyDescent="0.25">
      <c r="C513" s="2"/>
    </row>
    <row r="514" spans="3:3" x14ac:dyDescent="0.25">
      <c r="C514" s="2"/>
    </row>
    <row r="515" spans="3:3" x14ac:dyDescent="0.25">
      <c r="C515" s="2"/>
    </row>
    <row r="516" spans="3:3" x14ac:dyDescent="0.25">
      <c r="C516" s="2"/>
    </row>
    <row r="517" spans="3:3" x14ac:dyDescent="0.25">
      <c r="C517" s="2"/>
    </row>
    <row r="518" spans="3:3" x14ac:dyDescent="0.25">
      <c r="C518" s="2"/>
    </row>
    <row r="519" spans="3:3" x14ac:dyDescent="0.25">
      <c r="C519" s="2"/>
    </row>
    <row r="520" spans="3:3" x14ac:dyDescent="0.25">
      <c r="C520" s="2"/>
    </row>
    <row r="521" spans="3:3" x14ac:dyDescent="0.25">
      <c r="C521" s="2"/>
    </row>
    <row r="522" spans="3:3" x14ac:dyDescent="0.25">
      <c r="C522" s="2"/>
    </row>
    <row r="523" spans="3:3" x14ac:dyDescent="0.25">
      <c r="C523" s="2"/>
    </row>
    <row r="524" spans="3:3" x14ac:dyDescent="0.25">
      <c r="C524" s="2"/>
    </row>
    <row r="525" spans="3:3" x14ac:dyDescent="0.25">
      <c r="C525" s="2"/>
    </row>
    <row r="526" spans="3:3" x14ac:dyDescent="0.25">
      <c r="C526" s="2"/>
    </row>
    <row r="527" spans="3:3" x14ac:dyDescent="0.25">
      <c r="C527" s="2"/>
    </row>
    <row r="528" spans="3:3" x14ac:dyDescent="0.25">
      <c r="C528" s="2"/>
    </row>
    <row r="529" spans="3:3" x14ac:dyDescent="0.25">
      <c r="C529" s="2"/>
    </row>
    <row r="530" spans="3:3" x14ac:dyDescent="0.25">
      <c r="C530" s="2"/>
    </row>
    <row r="531" spans="3:3" x14ac:dyDescent="0.25">
      <c r="C531" s="2"/>
    </row>
    <row r="532" spans="3:3" x14ac:dyDescent="0.25">
      <c r="C532" s="2"/>
    </row>
    <row r="533" spans="3:3" x14ac:dyDescent="0.25">
      <c r="C533" s="2"/>
    </row>
    <row r="534" spans="3:3" x14ac:dyDescent="0.25">
      <c r="C534" s="2"/>
    </row>
    <row r="535" spans="3:3" x14ac:dyDescent="0.25">
      <c r="C535" s="2"/>
    </row>
    <row r="536" spans="3:3" x14ac:dyDescent="0.25">
      <c r="C536" s="2"/>
    </row>
    <row r="537" spans="3:3" x14ac:dyDescent="0.25">
      <c r="C537" s="2"/>
    </row>
    <row r="538" spans="3:3" x14ac:dyDescent="0.25">
      <c r="C538" s="2"/>
    </row>
    <row r="539" spans="3:3" x14ac:dyDescent="0.25">
      <c r="C539" s="2"/>
    </row>
    <row r="540" spans="3:3" x14ac:dyDescent="0.25">
      <c r="C540" s="2"/>
    </row>
    <row r="541" spans="3:3" x14ac:dyDescent="0.25">
      <c r="C541" s="2"/>
    </row>
    <row r="542" spans="3:3" x14ac:dyDescent="0.25">
      <c r="C542" s="2"/>
    </row>
    <row r="543" spans="3:3" x14ac:dyDescent="0.25">
      <c r="C543" s="2"/>
    </row>
    <row r="544" spans="3:3" x14ac:dyDescent="0.25">
      <c r="C544" s="2"/>
    </row>
    <row r="545" spans="3:3" x14ac:dyDescent="0.25">
      <c r="C545" s="2"/>
    </row>
    <row r="546" spans="3:3" x14ac:dyDescent="0.25">
      <c r="C546" s="2"/>
    </row>
    <row r="547" spans="3:3" x14ac:dyDescent="0.25">
      <c r="C547" s="2"/>
    </row>
    <row r="548" spans="3:3" x14ac:dyDescent="0.25">
      <c r="C548" s="2"/>
    </row>
    <row r="549" spans="3:3" x14ac:dyDescent="0.25">
      <c r="C549" s="2"/>
    </row>
    <row r="550" spans="3:3" x14ac:dyDescent="0.25">
      <c r="C550" s="2"/>
    </row>
    <row r="551" spans="3:3" x14ac:dyDescent="0.25">
      <c r="C551" s="2"/>
    </row>
    <row r="552" spans="3:3" x14ac:dyDescent="0.25">
      <c r="C552" s="2"/>
    </row>
    <row r="553" spans="3:3" x14ac:dyDescent="0.25">
      <c r="C553" s="2"/>
    </row>
    <row r="554" spans="3:3" x14ac:dyDescent="0.25">
      <c r="C554" s="2"/>
    </row>
    <row r="555" spans="3:3" x14ac:dyDescent="0.25">
      <c r="C555" s="2"/>
    </row>
    <row r="556" spans="3:3" x14ac:dyDescent="0.25">
      <c r="C556" s="2"/>
    </row>
    <row r="557" spans="3:3" x14ac:dyDescent="0.25">
      <c r="C557" s="2"/>
    </row>
    <row r="558" spans="3:3" x14ac:dyDescent="0.25">
      <c r="C558" s="2"/>
    </row>
    <row r="559" spans="3:3" x14ac:dyDescent="0.25">
      <c r="C559" s="2"/>
    </row>
    <row r="560" spans="3:3" x14ac:dyDescent="0.25">
      <c r="C560" s="2"/>
    </row>
    <row r="561" spans="3:3" x14ac:dyDescent="0.25">
      <c r="C561" s="2"/>
    </row>
    <row r="562" spans="3:3" x14ac:dyDescent="0.25">
      <c r="C562" s="2"/>
    </row>
    <row r="563" spans="3:3" x14ac:dyDescent="0.25">
      <c r="C563" s="2"/>
    </row>
    <row r="564" spans="3:3" x14ac:dyDescent="0.25">
      <c r="C564" s="2"/>
    </row>
    <row r="565" spans="3:3" x14ac:dyDescent="0.25">
      <c r="C565" s="2"/>
    </row>
    <row r="566" spans="3:3" x14ac:dyDescent="0.25">
      <c r="C566" s="2"/>
    </row>
    <row r="567" spans="3:3" x14ac:dyDescent="0.25">
      <c r="C567" s="2"/>
    </row>
    <row r="568" spans="3:3" x14ac:dyDescent="0.25">
      <c r="C568" s="2"/>
    </row>
    <row r="569" spans="3:3" x14ac:dyDescent="0.25">
      <c r="C569" s="2"/>
    </row>
    <row r="570" spans="3:3" x14ac:dyDescent="0.25">
      <c r="C570" s="2"/>
    </row>
    <row r="571" spans="3:3" x14ac:dyDescent="0.25">
      <c r="C571" s="2"/>
    </row>
    <row r="572" spans="3:3" x14ac:dyDescent="0.25">
      <c r="C572" s="2"/>
    </row>
    <row r="573" spans="3:3" x14ac:dyDescent="0.25">
      <c r="C573" s="2"/>
    </row>
    <row r="574" spans="3:3" x14ac:dyDescent="0.25">
      <c r="C574" s="2"/>
    </row>
    <row r="575" spans="3:3" x14ac:dyDescent="0.25">
      <c r="C575" s="2"/>
    </row>
    <row r="576" spans="3:3" x14ac:dyDescent="0.25">
      <c r="C576" s="2"/>
    </row>
    <row r="577" spans="3:3" x14ac:dyDescent="0.25">
      <c r="C577" s="2"/>
    </row>
    <row r="578" spans="3:3" x14ac:dyDescent="0.25">
      <c r="C578" s="2"/>
    </row>
    <row r="579" spans="3:3" x14ac:dyDescent="0.25">
      <c r="C579" s="2"/>
    </row>
    <row r="580" spans="3:3" x14ac:dyDescent="0.25">
      <c r="C580" s="2"/>
    </row>
    <row r="581" spans="3:3" x14ac:dyDescent="0.25">
      <c r="C581" s="2"/>
    </row>
    <row r="582" spans="3:3" x14ac:dyDescent="0.25">
      <c r="C582" s="2"/>
    </row>
    <row r="583" spans="3:3" x14ac:dyDescent="0.25">
      <c r="C583" s="2"/>
    </row>
    <row r="584" spans="3:3" x14ac:dyDescent="0.25">
      <c r="C584" s="2"/>
    </row>
    <row r="585" spans="3:3" x14ac:dyDescent="0.25">
      <c r="C585" s="2"/>
    </row>
    <row r="586" spans="3:3" x14ac:dyDescent="0.25">
      <c r="C586" s="2"/>
    </row>
    <row r="587" spans="3:3" x14ac:dyDescent="0.25">
      <c r="C587" s="2"/>
    </row>
    <row r="588" spans="3:3" x14ac:dyDescent="0.25">
      <c r="C588" s="2"/>
    </row>
    <row r="589" spans="3:3" x14ac:dyDescent="0.25">
      <c r="C589" s="2"/>
    </row>
    <row r="590" spans="3:3" x14ac:dyDescent="0.25">
      <c r="C590" s="2"/>
    </row>
    <row r="591" spans="3:3" x14ac:dyDescent="0.25">
      <c r="C591" s="2"/>
    </row>
    <row r="592" spans="3:3" x14ac:dyDescent="0.25">
      <c r="C592" s="2"/>
    </row>
    <row r="593" spans="3:3" x14ac:dyDescent="0.25">
      <c r="C593" s="2"/>
    </row>
    <row r="594" spans="3:3" x14ac:dyDescent="0.25">
      <c r="C594" s="2"/>
    </row>
    <row r="595" spans="3:3" x14ac:dyDescent="0.25">
      <c r="C595" s="2"/>
    </row>
    <row r="596" spans="3:3" x14ac:dyDescent="0.25">
      <c r="C596" s="2"/>
    </row>
    <row r="597" spans="3:3" x14ac:dyDescent="0.25">
      <c r="C597" s="2"/>
    </row>
    <row r="598" spans="3:3" x14ac:dyDescent="0.25">
      <c r="C598" s="2"/>
    </row>
    <row r="599" spans="3:3" x14ac:dyDescent="0.25">
      <c r="C599" s="2"/>
    </row>
    <row r="600" spans="3:3" x14ac:dyDescent="0.25">
      <c r="C600" s="2"/>
    </row>
    <row r="601" spans="3:3" x14ac:dyDescent="0.25">
      <c r="C601" s="2"/>
    </row>
    <row r="602" spans="3:3" x14ac:dyDescent="0.25">
      <c r="C602" s="2"/>
    </row>
    <row r="603" spans="3:3" x14ac:dyDescent="0.25">
      <c r="C603" s="2"/>
    </row>
    <row r="604" spans="3:3" x14ac:dyDescent="0.25">
      <c r="C604" s="2"/>
    </row>
    <row r="605" spans="3:3" x14ac:dyDescent="0.25">
      <c r="C605" s="2"/>
    </row>
    <row r="606" spans="3:3" x14ac:dyDescent="0.25">
      <c r="C606" s="2"/>
    </row>
    <row r="607" spans="3:3" x14ac:dyDescent="0.25">
      <c r="C607" s="2"/>
    </row>
    <row r="608" spans="3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  <row r="614" spans="3:3" x14ac:dyDescent="0.25">
      <c r="C614" s="2"/>
    </row>
    <row r="615" spans="3:3" x14ac:dyDescent="0.25">
      <c r="C615" s="2"/>
    </row>
    <row r="616" spans="3:3" x14ac:dyDescent="0.25">
      <c r="C616" s="2"/>
    </row>
    <row r="617" spans="3:3" x14ac:dyDescent="0.25">
      <c r="C617" s="2"/>
    </row>
    <row r="618" spans="3:3" x14ac:dyDescent="0.25">
      <c r="C618" s="2"/>
    </row>
    <row r="619" spans="3:3" x14ac:dyDescent="0.25">
      <c r="C619" s="2"/>
    </row>
    <row r="620" spans="3:3" x14ac:dyDescent="0.25">
      <c r="C620" s="2"/>
    </row>
    <row r="621" spans="3:3" x14ac:dyDescent="0.25">
      <c r="C621" s="2"/>
    </row>
    <row r="622" spans="3:3" x14ac:dyDescent="0.25">
      <c r="C622" s="2"/>
    </row>
    <row r="623" spans="3:3" x14ac:dyDescent="0.25">
      <c r="C623" s="2"/>
    </row>
    <row r="624" spans="3:3" x14ac:dyDescent="0.25">
      <c r="C624" s="2"/>
    </row>
    <row r="625" spans="3:3" x14ac:dyDescent="0.25">
      <c r="C625" s="2"/>
    </row>
    <row r="626" spans="3:3" x14ac:dyDescent="0.25">
      <c r="C626" s="2"/>
    </row>
    <row r="627" spans="3:3" x14ac:dyDescent="0.25">
      <c r="C627" s="2"/>
    </row>
    <row r="628" spans="3:3" x14ac:dyDescent="0.25">
      <c r="C628" s="2"/>
    </row>
    <row r="629" spans="3:3" x14ac:dyDescent="0.25">
      <c r="C629" s="2"/>
    </row>
    <row r="630" spans="3:3" x14ac:dyDescent="0.25">
      <c r="C630" s="2"/>
    </row>
    <row r="631" spans="3:3" x14ac:dyDescent="0.25">
      <c r="C631" s="2"/>
    </row>
    <row r="632" spans="3:3" x14ac:dyDescent="0.25">
      <c r="C632" s="2"/>
    </row>
    <row r="633" spans="3:3" x14ac:dyDescent="0.25">
      <c r="C633" s="2"/>
    </row>
    <row r="634" spans="3:3" x14ac:dyDescent="0.25">
      <c r="C634" s="2"/>
    </row>
    <row r="635" spans="3:3" x14ac:dyDescent="0.25">
      <c r="C635" s="2"/>
    </row>
    <row r="636" spans="3:3" x14ac:dyDescent="0.25">
      <c r="C636" s="2"/>
    </row>
    <row r="637" spans="3:3" x14ac:dyDescent="0.25">
      <c r="C637" s="2"/>
    </row>
  </sheetData>
  <sortState xmlns:xlrd2="http://schemas.microsoft.com/office/spreadsheetml/2017/richdata2" ref="B1:J637">
    <sortCondition descending="1" ref="C3"/>
  </sortState>
  <hyperlinks>
    <hyperlink ref="J3" r:id="rId1" display="http://www.starcitygames.com/results?name=" xr:uid="{5C3EE22C-EE20-4A20-865C-FF6847ACF7B8}"/>
    <hyperlink ref="J4:J7" r:id="rId2" display="http://www.starcitygames.com/results?name=" xr:uid="{7ADBD6B3-6525-4A7C-83B2-F17B82A17EEB}"/>
    <hyperlink ref="J8" r:id="rId3" display="http://www.starcitygames.com/results?name=" xr:uid="{9572F2DE-A083-40FF-BC37-F911EBA17232}"/>
    <hyperlink ref="J13" r:id="rId4" display="http://www.starcitygames.com/results?name=" xr:uid="{66709272-65A9-4AEB-BC89-128EACA619E7}"/>
    <hyperlink ref="J18" r:id="rId5" display="http://www.starcitygames.com/results?name=" xr:uid="{0410AB6E-1AC6-4BBD-A0D3-68911EDA70C0}"/>
    <hyperlink ref="J23" r:id="rId6" display="http://www.starcitygames.com/results?name=" xr:uid="{7ECF3D22-C92C-465C-8824-722E56A12A7B}"/>
    <hyperlink ref="J28" r:id="rId7" display="http://www.starcitygames.com/results?name=" xr:uid="{8A724127-EE78-406C-80FE-C3C7E065E7C6}"/>
    <hyperlink ref="J33" r:id="rId8" display="http://www.starcitygames.com/results?name=" xr:uid="{CE585655-50F8-46A1-B030-8E34FB7058C7}"/>
    <hyperlink ref="J38" r:id="rId9" display="http://www.starcitygames.com/results?name=" xr:uid="{66BC04EB-A482-4B97-87F4-319837698E4D}"/>
    <hyperlink ref="J43" r:id="rId10" display="http://www.starcitygames.com/results?name=" xr:uid="{E55DFE6D-9AA1-456A-B290-AF173410EA2E}"/>
    <hyperlink ref="J48" r:id="rId11" display="http://www.starcitygames.com/results?name=" xr:uid="{A3935C72-E23A-4DA8-BF32-C4B2F0D7C677}"/>
    <hyperlink ref="J53" r:id="rId12" display="http://www.starcitygames.com/results?name=" xr:uid="{B6BB4B2C-018B-4842-9573-4319112D14CD}"/>
    <hyperlink ref="J58" r:id="rId13" display="http://www.starcitygames.com/results?name=" xr:uid="{050A656A-817F-49C4-8D4F-B49FA76B337F}"/>
    <hyperlink ref="J63" r:id="rId14" display="http://www.starcitygames.com/results?name=" xr:uid="{170AE871-C0A7-4DA5-B8D9-21B029969A17}"/>
    <hyperlink ref="J9:J12" r:id="rId15" display="http://www.starcitygames.com/results?name=" xr:uid="{73007919-3371-4C8D-91B7-A5BE38E3F144}"/>
    <hyperlink ref="J14:J17" r:id="rId16" display="http://www.starcitygames.com/results?name=" xr:uid="{FC49E332-ED86-429B-90F6-4F58D46036C7}"/>
    <hyperlink ref="J19:J22" r:id="rId17" display="http://www.starcitygames.com/results?name=" xr:uid="{E011D006-C5C0-4132-BC5A-395D763E6CE9}"/>
    <hyperlink ref="J24:J27" r:id="rId18" display="http://www.starcitygames.com/results?name=" xr:uid="{976796B0-6EA4-455E-9A9C-BC6D1919A5E1}"/>
    <hyperlink ref="J29:J32" r:id="rId19" display="http://www.starcitygames.com/results?name=" xr:uid="{DD3048A0-C848-4D39-9E19-888A9BEA3199}"/>
    <hyperlink ref="J34:J37" r:id="rId20" display="http://www.starcitygames.com/results?name=" xr:uid="{B8533164-EF43-4AFD-AB8C-0D2B683F58FE}"/>
    <hyperlink ref="J39:J42" r:id="rId21" display="http://www.starcitygames.com/results?name=" xr:uid="{DC8715CB-6656-4556-80CA-C8845313D6A0}"/>
    <hyperlink ref="J44:J47" r:id="rId22" display="http://www.starcitygames.com/results?name=" xr:uid="{B1B07EAA-472D-405B-93B2-C03A08A2D4AC}"/>
    <hyperlink ref="J49:J52" r:id="rId23" display="http://www.starcitygames.com/results?name=" xr:uid="{C7B63F82-5CDC-46F2-BB60-6C4072FA508A}"/>
    <hyperlink ref="J54:J57" r:id="rId24" display="http://www.starcitygames.com/results?name=" xr:uid="{7CFBB7B7-BEB2-46AD-AD04-BE069B42B493}"/>
    <hyperlink ref="J59:J62" r:id="rId25" display="http://www.starcitygames.com/results?name=" xr:uid="{3F6775E4-7B9E-49B1-ABA5-1F8BDE1ACA36}"/>
    <hyperlink ref="K7" r:id="rId26" display="http://www.starcitygames.com/results?name=" xr:uid="{1448E7C3-5ECA-406C-8316-23CAEDF7C0DF}"/>
    <hyperlink ref="K3" r:id="rId27" display="http://www.starcitygames.com/results?name=Tarmogoyf&amp;namematch=AND&amp;text=&amp;oracle=1&amp;textmatch=AND&amp;c_all=All&amp;multicolor=&amp;colormatch=OR&amp;colorexclude=1&amp;card_type_match=OR&amp;crittermatch=OR&amp;r_all=All&amp;s%5B%5D=5304&amp;foil=nofoil&amp;g_all=All&amp;lang%5B%5D=1&amp;cmcop=%3D&amp;cmc=&amp;ccl=0&amp;ccu=99&amp;pwrop=%3D&amp;pwr=&amp;mincost=0.00&amp;maxcost=99999.99&amp;tghop=%3D&amp;tgh=&amp;sort1=4&amp;sort2=1&amp;sort3=10&amp;sort4=0&amp;display=1&amp;numpage=25" xr:uid="{65B87D6C-8A13-45BA-9F78-B92F2A3222D9}"/>
  </hyperlinks>
  <pageMargins left="0.7" right="0.7" top="0.75" bottom="0.75" header="0.3" footer="0.3"/>
  <pageSetup orientation="portrait" r:id="rId2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AFFBF-4A5C-49BE-9C75-14B4DFCF45A0}">
  <dimension ref="A1:B205"/>
  <sheetViews>
    <sheetView topLeftCell="A161" zoomScale="190" zoomScaleNormal="190" workbookViewId="0">
      <selection activeCell="A170" sqref="A170"/>
    </sheetView>
  </sheetViews>
  <sheetFormatPr defaultRowHeight="15" x14ac:dyDescent="0.25"/>
  <cols>
    <col min="1" max="1" width="35" style="9" bestFit="1" customWidth="1"/>
    <col min="2" max="16384" width="9.140625" style="9"/>
  </cols>
  <sheetData>
    <row r="1" spans="1:2" ht="15.75" x14ac:dyDescent="0.25">
      <c r="A1" s="8" t="s">
        <v>76</v>
      </c>
      <c r="B1" s="9">
        <v>5061</v>
      </c>
    </row>
    <row r="2" spans="1:2" x14ac:dyDescent="0.25">
      <c r="A2" s="9" t="s">
        <v>77</v>
      </c>
      <c r="B2" s="9">
        <v>1003</v>
      </c>
    </row>
    <row r="3" spans="1:2" x14ac:dyDescent="0.25">
      <c r="A3" s="9" t="s">
        <v>78</v>
      </c>
      <c r="B3" s="9">
        <v>1009</v>
      </c>
    </row>
    <row r="4" spans="1:2" x14ac:dyDescent="0.25">
      <c r="A4" s="9" t="s">
        <v>90</v>
      </c>
      <c r="B4" s="9">
        <v>1015</v>
      </c>
    </row>
    <row r="5" spans="1:2" x14ac:dyDescent="0.25">
      <c r="A5" s="9" t="s">
        <v>91</v>
      </c>
      <c r="B5" s="9">
        <v>1025</v>
      </c>
    </row>
    <row r="6" spans="1:2" x14ac:dyDescent="0.25">
      <c r="A6" s="9" t="s">
        <v>92</v>
      </c>
      <c r="B6" s="9">
        <v>1037</v>
      </c>
    </row>
    <row r="7" spans="1:2" x14ac:dyDescent="0.25">
      <c r="A7" s="9" t="s">
        <v>93</v>
      </c>
      <c r="B7" s="9">
        <v>1053</v>
      </c>
    </row>
    <row r="8" spans="1:2" x14ac:dyDescent="0.25">
      <c r="A8" s="9" t="s">
        <v>94</v>
      </c>
      <c r="B8" s="9">
        <v>5023</v>
      </c>
    </row>
    <row r="9" spans="1:2" x14ac:dyDescent="0.25">
      <c r="A9" s="9" t="s">
        <v>95</v>
      </c>
      <c r="B9" s="9">
        <v>5344</v>
      </c>
    </row>
    <row r="10" spans="1:2" x14ac:dyDescent="0.25">
      <c r="A10" s="9" t="s">
        <v>96</v>
      </c>
      <c r="B10" s="9">
        <v>5131</v>
      </c>
    </row>
    <row r="11" spans="1:2" x14ac:dyDescent="0.25">
      <c r="A11" s="9" t="s">
        <v>97</v>
      </c>
      <c r="B11" s="9">
        <v>1012</v>
      </c>
    </row>
    <row r="12" spans="1:2" x14ac:dyDescent="0.25">
      <c r="A12" s="9" t="s">
        <v>98</v>
      </c>
      <c r="B12" s="9">
        <v>1000</v>
      </c>
    </row>
    <row r="13" spans="1:2" x14ac:dyDescent="0.25">
      <c r="A13" s="9" t="s">
        <v>99</v>
      </c>
      <c r="B13" s="9">
        <v>5015</v>
      </c>
    </row>
    <row r="14" spans="1:2" x14ac:dyDescent="0.25">
      <c r="A14" s="9" t="s">
        <v>100</v>
      </c>
      <c r="B14" s="9">
        <v>5355</v>
      </c>
    </row>
    <row r="15" spans="1:2" x14ac:dyDescent="0.25">
      <c r="A15" s="9" t="s">
        <v>101</v>
      </c>
      <c r="B15" s="9">
        <v>1068</v>
      </c>
    </row>
    <row r="16" spans="1:2" x14ac:dyDescent="0.25">
      <c r="A16" s="9" t="s">
        <v>102</v>
      </c>
      <c r="B16" s="9">
        <v>1005</v>
      </c>
    </row>
    <row r="17" spans="1:2" x14ac:dyDescent="0.25">
      <c r="A17" s="9" t="s">
        <v>103</v>
      </c>
      <c r="B17" s="9">
        <v>1039</v>
      </c>
    </row>
    <row r="18" spans="1:2" x14ac:dyDescent="0.25">
      <c r="A18" s="9" t="s">
        <v>104</v>
      </c>
      <c r="B18" s="9">
        <v>1004</v>
      </c>
    </row>
    <row r="19" spans="1:2" x14ac:dyDescent="0.25">
      <c r="A19" s="9" t="s">
        <v>105</v>
      </c>
      <c r="B19" s="9">
        <v>5190</v>
      </c>
    </row>
    <row r="20" spans="1:2" x14ac:dyDescent="0.25">
      <c r="A20" s="9" t="s">
        <v>106</v>
      </c>
      <c r="B20" s="9">
        <v>5191</v>
      </c>
    </row>
    <row r="21" spans="1:2" x14ac:dyDescent="0.25">
      <c r="A21" s="9" t="s">
        <v>108</v>
      </c>
      <c r="B21" s="9">
        <v>5365</v>
      </c>
    </row>
    <row r="22" spans="1:2" x14ac:dyDescent="0.25">
      <c r="A22" s="9" t="s">
        <v>109</v>
      </c>
      <c r="B22" s="9">
        <v>5359</v>
      </c>
    </row>
    <row r="23" spans="1:2" x14ac:dyDescent="0.25">
      <c r="A23" s="9" t="s">
        <v>110</v>
      </c>
      <c r="B23" s="9">
        <v>5228</v>
      </c>
    </row>
    <row r="24" spans="1:2" x14ac:dyDescent="0.25">
      <c r="A24" s="9" t="s">
        <v>61</v>
      </c>
      <c r="B24" s="9">
        <v>5308</v>
      </c>
    </row>
    <row r="25" spans="1:2" x14ac:dyDescent="0.25">
      <c r="A25" s="9" t="s">
        <v>111</v>
      </c>
      <c r="B25" s="9">
        <v>1069</v>
      </c>
    </row>
    <row r="26" spans="1:2" x14ac:dyDescent="0.25">
      <c r="A26" s="9" t="s">
        <v>112</v>
      </c>
      <c r="B26" s="9">
        <v>5382</v>
      </c>
    </row>
    <row r="27" spans="1:2" x14ac:dyDescent="0.25">
      <c r="A27" s="9" t="s">
        <v>113</v>
      </c>
      <c r="B27" s="9">
        <v>1070</v>
      </c>
    </row>
    <row r="28" spans="1:2" x14ac:dyDescent="0.25">
      <c r="A28" s="9" t="s">
        <v>114</v>
      </c>
      <c r="B28" s="9">
        <v>1001</v>
      </c>
    </row>
    <row r="29" spans="1:2" x14ac:dyDescent="0.25">
      <c r="A29" s="9" t="s">
        <v>115</v>
      </c>
      <c r="B29" s="9">
        <v>5018</v>
      </c>
    </row>
    <row r="30" spans="1:2" x14ac:dyDescent="0.25">
      <c r="A30" s="9" t="s">
        <v>1</v>
      </c>
      <c r="B30" s="9">
        <v>5271</v>
      </c>
    </row>
    <row r="31" spans="1:2" x14ac:dyDescent="0.25">
      <c r="A31" s="9" t="s">
        <v>116</v>
      </c>
      <c r="B31" s="9">
        <v>5005</v>
      </c>
    </row>
    <row r="32" spans="1:2" x14ac:dyDescent="0.25">
      <c r="A32" s="9" t="s">
        <v>117</v>
      </c>
      <c r="B32" s="9">
        <v>1062</v>
      </c>
    </row>
    <row r="33" spans="1:2" x14ac:dyDescent="0.25">
      <c r="A33" s="9" t="s">
        <v>118</v>
      </c>
      <c r="B33" s="9">
        <v>5040</v>
      </c>
    </row>
    <row r="34" spans="1:2" x14ac:dyDescent="0.25">
      <c r="A34" s="9" t="s">
        <v>119</v>
      </c>
      <c r="B34" s="9">
        <v>5057</v>
      </c>
    </row>
    <row r="35" spans="1:2" x14ac:dyDescent="0.25">
      <c r="A35" s="9" t="s">
        <v>120</v>
      </c>
      <c r="B35" s="9">
        <v>5009</v>
      </c>
    </row>
    <row r="36" spans="1:2" x14ac:dyDescent="0.25">
      <c r="A36" s="9" t="s">
        <v>121</v>
      </c>
      <c r="B36" s="9">
        <v>5213</v>
      </c>
    </row>
    <row r="37" spans="1:2" x14ac:dyDescent="0.25">
      <c r="A37" s="9" t="s">
        <v>122</v>
      </c>
      <c r="B37" s="9">
        <v>5269</v>
      </c>
    </row>
    <row r="38" spans="1:2" x14ac:dyDescent="0.25">
      <c r="A38" s="9" t="s">
        <v>123</v>
      </c>
      <c r="B38" s="9">
        <v>5294</v>
      </c>
    </row>
    <row r="39" spans="1:2" x14ac:dyDescent="0.25">
      <c r="A39" s="9" t="s">
        <v>124</v>
      </c>
      <c r="B39" s="9">
        <v>5313</v>
      </c>
    </row>
    <row r="40" spans="1:2" x14ac:dyDescent="0.25">
      <c r="A40" s="9" t="s">
        <v>125</v>
      </c>
      <c r="B40" s="9">
        <v>5346</v>
      </c>
    </row>
    <row r="41" spans="1:2" x14ac:dyDescent="0.25">
      <c r="A41" s="9" t="s">
        <v>126</v>
      </c>
      <c r="B41" s="9">
        <v>5364</v>
      </c>
    </row>
    <row r="42" spans="1:2" x14ac:dyDescent="0.25">
      <c r="A42" s="9" t="s">
        <v>127</v>
      </c>
      <c r="B42" s="9">
        <v>5391</v>
      </c>
    </row>
    <row r="43" spans="1:2" x14ac:dyDescent="0.25">
      <c r="A43" s="9" t="s">
        <v>128</v>
      </c>
      <c r="B43" s="9">
        <v>5358</v>
      </c>
    </row>
    <row r="44" spans="1:2" x14ac:dyDescent="0.25">
      <c r="A44" s="9" t="s">
        <v>129</v>
      </c>
      <c r="B44" s="9">
        <v>5386</v>
      </c>
    </row>
    <row r="45" spans="1:2" x14ac:dyDescent="0.25">
      <c r="A45" s="9" t="s">
        <v>130</v>
      </c>
      <c r="B45" s="9">
        <v>5338</v>
      </c>
    </row>
    <row r="46" spans="1:2" x14ac:dyDescent="0.25">
      <c r="A46" s="9" t="s">
        <v>131</v>
      </c>
      <c r="B46" s="9">
        <v>5247</v>
      </c>
    </row>
    <row r="47" spans="1:2" x14ac:dyDescent="0.25">
      <c r="A47" s="9" t="s">
        <v>132</v>
      </c>
      <c r="B47" s="9">
        <v>5116</v>
      </c>
    </row>
    <row r="48" spans="1:2" x14ac:dyDescent="0.25">
      <c r="A48" s="9" t="s">
        <v>133</v>
      </c>
      <c r="B48" s="9">
        <v>5286</v>
      </c>
    </row>
    <row r="49" spans="1:2" x14ac:dyDescent="0.25">
      <c r="A49" s="9" t="s">
        <v>134</v>
      </c>
      <c r="B49" s="9">
        <v>5334</v>
      </c>
    </row>
    <row r="50" spans="1:2" x14ac:dyDescent="0.25">
      <c r="A50" s="9" t="s">
        <v>135</v>
      </c>
      <c r="B50" s="9">
        <v>5384</v>
      </c>
    </row>
    <row r="51" spans="1:2" x14ac:dyDescent="0.25">
      <c r="A51" s="9" t="s">
        <v>136</v>
      </c>
      <c r="B51" s="9">
        <v>5221</v>
      </c>
    </row>
    <row r="52" spans="1:2" x14ac:dyDescent="0.25">
      <c r="A52" s="9" t="s">
        <v>137</v>
      </c>
      <c r="B52" s="9">
        <v>1057</v>
      </c>
    </row>
    <row r="53" spans="1:2" x14ac:dyDescent="0.25">
      <c r="A53" s="9" t="s">
        <v>138</v>
      </c>
      <c r="B53" s="9">
        <v>1070</v>
      </c>
    </row>
    <row r="54" spans="1:2" x14ac:dyDescent="0.25">
      <c r="A54" s="9" t="s">
        <v>139</v>
      </c>
      <c r="B54" s="9">
        <v>5037</v>
      </c>
    </row>
    <row r="55" spans="1:2" x14ac:dyDescent="0.25">
      <c r="A55" s="9" t="s">
        <v>140</v>
      </c>
      <c r="B55" s="9">
        <v>5379</v>
      </c>
    </row>
    <row r="56" spans="1:2" x14ac:dyDescent="0.25">
      <c r="A56" s="9" t="s">
        <v>141</v>
      </c>
      <c r="B56" s="9">
        <v>5254</v>
      </c>
    </row>
    <row r="57" spans="1:2" x14ac:dyDescent="0.25">
      <c r="A57" s="9" t="s">
        <v>142</v>
      </c>
      <c r="B57" s="9">
        <v>5302</v>
      </c>
    </row>
    <row r="58" spans="1:2" x14ac:dyDescent="0.25">
      <c r="A58" s="9" t="s">
        <v>143</v>
      </c>
      <c r="B58" s="9">
        <v>5217</v>
      </c>
    </row>
    <row r="59" spans="1:2" x14ac:dyDescent="0.25">
      <c r="A59" s="9" t="s">
        <v>144</v>
      </c>
      <c r="B59" s="9">
        <v>5298</v>
      </c>
    </row>
    <row r="60" spans="1:2" x14ac:dyDescent="0.25">
      <c r="A60" s="9" t="s">
        <v>145</v>
      </c>
      <c r="B60" s="9">
        <v>5327</v>
      </c>
    </row>
    <row r="61" spans="1:2" x14ac:dyDescent="0.25">
      <c r="A61" s="9" t="s">
        <v>146</v>
      </c>
      <c r="B61" s="9">
        <v>5134</v>
      </c>
    </row>
    <row r="62" spans="1:2" x14ac:dyDescent="0.25">
      <c r="A62" s="9" t="s">
        <v>147</v>
      </c>
      <c r="B62" s="9">
        <v>5301</v>
      </c>
    </row>
    <row r="63" spans="1:2" x14ac:dyDescent="0.25">
      <c r="A63" s="9" t="s">
        <v>148</v>
      </c>
      <c r="B63" s="9">
        <v>5195</v>
      </c>
    </row>
    <row r="64" spans="1:2" x14ac:dyDescent="0.25">
      <c r="A64" s="9" t="s">
        <v>149</v>
      </c>
      <c r="B64" s="9">
        <v>5082</v>
      </c>
    </row>
    <row r="65" spans="1:2" x14ac:dyDescent="0.25">
      <c r="A65" s="9" t="s">
        <v>150</v>
      </c>
      <c r="B65" s="9">
        <v>5381</v>
      </c>
    </row>
    <row r="66" spans="1:2" x14ac:dyDescent="0.25">
      <c r="A66" s="9" t="s">
        <v>151</v>
      </c>
      <c r="B66" s="9">
        <v>5176</v>
      </c>
    </row>
    <row r="67" spans="1:2" x14ac:dyDescent="0.25">
      <c r="A67" s="9" t="s">
        <v>152</v>
      </c>
      <c r="B67" s="9">
        <v>5265</v>
      </c>
    </row>
    <row r="68" spans="1:2" x14ac:dyDescent="0.25">
      <c r="A68" s="9" t="s">
        <v>153</v>
      </c>
      <c r="B68" s="9">
        <v>5254</v>
      </c>
    </row>
    <row r="69" spans="1:2" x14ac:dyDescent="0.25">
      <c r="A69" s="9" t="s">
        <v>154</v>
      </c>
      <c r="B69" s="9">
        <v>5115</v>
      </c>
    </row>
    <row r="70" spans="1:2" x14ac:dyDescent="0.25">
      <c r="A70" s="9" t="s">
        <v>155</v>
      </c>
      <c r="B70" s="9">
        <v>5280</v>
      </c>
    </row>
    <row r="71" spans="1:2" x14ac:dyDescent="0.25">
      <c r="A71" s="9" t="s">
        <v>156</v>
      </c>
      <c r="B71" s="9">
        <v>5209</v>
      </c>
    </row>
    <row r="72" spans="1:2" x14ac:dyDescent="0.25">
      <c r="A72" s="9" t="s">
        <v>157</v>
      </c>
      <c r="B72" s="9">
        <v>5368</v>
      </c>
    </row>
    <row r="73" spans="1:2" x14ac:dyDescent="0.25">
      <c r="A73" s="9" t="s">
        <v>158</v>
      </c>
      <c r="B73" s="9">
        <v>5354</v>
      </c>
    </row>
    <row r="74" spans="1:2" x14ac:dyDescent="0.25">
      <c r="A74" s="9" t="s">
        <v>159</v>
      </c>
      <c r="B74" s="9">
        <v>5341</v>
      </c>
    </row>
    <row r="75" spans="1:2" x14ac:dyDescent="0.25">
      <c r="A75" s="9" t="s">
        <v>160</v>
      </c>
      <c r="B75" s="9">
        <v>5189</v>
      </c>
    </row>
    <row r="76" spans="1:2" x14ac:dyDescent="0.25">
      <c r="A76" s="9" t="s">
        <v>161</v>
      </c>
      <c r="B76" s="9">
        <v>5253</v>
      </c>
    </row>
    <row r="77" spans="1:2" x14ac:dyDescent="0.25">
      <c r="A77" s="9" t="s">
        <v>162</v>
      </c>
      <c r="B77" s="9">
        <v>5290</v>
      </c>
    </row>
    <row r="78" spans="1:2" x14ac:dyDescent="0.25">
      <c r="A78" s="9" t="s">
        <v>163</v>
      </c>
      <c r="B78" s="9">
        <v>5225</v>
      </c>
    </row>
    <row r="79" spans="1:2" x14ac:dyDescent="0.25">
      <c r="A79" s="9" t="s">
        <v>164</v>
      </c>
      <c r="B79" s="9">
        <v>5311</v>
      </c>
    </row>
    <row r="80" spans="1:2" x14ac:dyDescent="0.25">
      <c r="A80" s="9" t="s">
        <v>165</v>
      </c>
      <c r="B80" s="9">
        <v>5196</v>
      </c>
    </row>
    <row r="81" spans="1:2" x14ac:dyDescent="0.25">
      <c r="A81" s="9" t="s">
        <v>74</v>
      </c>
      <c r="B81" s="9">
        <v>5336</v>
      </c>
    </row>
    <row r="82" spans="1:2" x14ac:dyDescent="0.25">
      <c r="A82" s="9" t="s">
        <v>166</v>
      </c>
      <c r="B82" s="9">
        <v>5331</v>
      </c>
    </row>
    <row r="83" spans="1:2" x14ac:dyDescent="0.25">
      <c r="A83" s="9" t="s">
        <v>167</v>
      </c>
      <c r="B83" s="9">
        <v>5096</v>
      </c>
    </row>
    <row r="84" spans="1:2" x14ac:dyDescent="0.25">
      <c r="A84" s="9" t="s">
        <v>168</v>
      </c>
      <c r="B84" s="9">
        <v>1019</v>
      </c>
    </row>
    <row r="85" spans="1:2" x14ac:dyDescent="0.25">
      <c r="A85" s="9" t="s">
        <v>169</v>
      </c>
      <c r="B85" s="9">
        <v>5371</v>
      </c>
    </row>
    <row r="86" spans="1:2" x14ac:dyDescent="0.25">
      <c r="A86" s="9" t="s">
        <v>170</v>
      </c>
      <c r="B86" s="9">
        <v>1008</v>
      </c>
    </row>
    <row r="87" spans="1:2" x14ac:dyDescent="0.25">
      <c r="A87" s="9" t="s">
        <v>171</v>
      </c>
      <c r="B87" s="9">
        <v>5296</v>
      </c>
    </row>
    <row r="88" spans="1:2" x14ac:dyDescent="0.25">
      <c r="A88" s="9" t="s">
        <v>172</v>
      </c>
      <c r="B88" s="9">
        <v>5007</v>
      </c>
    </row>
    <row r="89" spans="1:2" x14ac:dyDescent="0.25">
      <c r="A89" s="9" t="s">
        <v>175</v>
      </c>
      <c r="B89" s="9">
        <v>5310</v>
      </c>
    </row>
    <row r="90" spans="1:2" x14ac:dyDescent="0.25">
      <c r="A90" s="9" t="s">
        <v>173</v>
      </c>
      <c r="B90" s="9">
        <v>5293</v>
      </c>
    </row>
    <row r="91" spans="1:2" x14ac:dyDescent="0.25">
      <c r="A91" s="9" t="s">
        <v>174</v>
      </c>
      <c r="B91" s="9">
        <v>5108</v>
      </c>
    </row>
    <row r="92" spans="1:2" x14ac:dyDescent="0.25">
      <c r="A92" s="9" t="s">
        <v>176</v>
      </c>
      <c r="B92" s="9">
        <v>5171</v>
      </c>
    </row>
    <row r="93" spans="1:2" x14ac:dyDescent="0.25">
      <c r="A93" s="9" t="s">
        <v>177</v>
      </c>
      <c r="B93" s="9">
        <v>5219</v>
      </c>
    </row>
    <row r="94" spans="1:2" x14ac:dyDescent="0.25">
      <c r="A94" s="9" t="s">
        <v>178</v>
      </c>
      <c r="B94" s="9">
        <v>5342</v>
      </c>
    </row>
    <row r="95" spans="1:2" x14ac:dyDescent="0.25">
      <c r="A95" s="9" t="s">
        <v>179</v>
      </c>
      <c r="B95" s="9">
        <v>5246</v>
      </c>
    </row>
    <row r="96" spans="1:2" x14ac:dyDescent="0.25">
      <c r="A96" s="9" t="s">
        <v>180</v>
      </c>
      <c r="B96" s="9">
        <v>5194</v>
      </c>
    </row>
    <row r="97" spans="1:2" x14ac:dyDescent="0.25">
      <c r="A97" s="9" t="s">
        <v>181</v>
      </c>
      <c r="B97" s="9">
        <v>5374</v>
      </c>
    </row>
    <row r="98" spans="1:2" x14ac:dyDescent="0.25">
      <c r="A98" s="9" t="s">
        <v>182</v>
      </c>
      <c r="B98" s="9">
        <v>5268</v>
      </c>
    </row>
    <row r="99" spans="1:2" x14ac:dyDescent="0.25">
      <c r="A99" s="9" t="s">
        <v>183</v>
      </c>
      <c r="B99" s="9">
        <v>5055</v>
      </c>
    </row>
    <row r="100" spans="1:2" x14ac:dyDescent="0.25">
      <c r="A100" s="9" t="s">
        <v>184</v>
      </c>
      <c r="B100" s="9">
        <v>5398</v>
      </c>
    </row>
    <row r="101" spans="1:2" x14ac:dyDescent="0.25">
      <c r="A101" s="9" t="s">
        <v>3</v>
      </c>
      <c r="B101" s="9">
        <v>5249</v>
      </c>
    </row>
    <row r="102" spans="1:2" x14ac:dyDescent="0.25">
      <c r="A102" s="9" t="s">
        <v>185</v>
      </c>
      <c r="B102" s="9">
        <v>5387</v>
      </c>
    </row>
    <row r="103" spans="1:2" x14ac:dyDescent="0.25">
      <c r="A103" s="9" t="s">
        <v>186</v>
      </c>
      <c r="B103" s="9">
        <v>5396</v>
      </c>
    </row>
    <row r="104" spans="1:2" x14ac:dyDescent="0.25">
      <c r="A104" s="9" t="s">
        <v>187</v>
      </c>
      <c r="B104" s="9">
        <v>5035</v>
      </c>
    </row>
    <row r="105" spans="1:2" x14ac:dyDescent="0.25">
      <c r="A105" s="9" t="s">
        <v>188</v>
      </c>
      <c r="B105" s="9">
        <v>5392</v>
      </c>
    </row>
    <row r="106" spans="1:2" x14ac:dyDescent="0.25">
      <c r="A106" s="9" t="s">
        <v>189</v>
      </c>
      <c r="B106" s="9">
        <v>1011</v>
      </c>
    </row>
    <row r="107" spans="1:2" x14ac:dyDescent="0.25">
      <c r="A107" s="9" t="s">
        <v>190</v>
      </c>
      <c r="B107" s="9">
        <v>5360</v>
      </c>
    </row>
    <row r="108" spans="1:2" x14ac:dyDescent="0.25">
      <c r="A108" s="9" t="s">
        <v>191</v>
      </c>
      <c r="B108" s="9">
        <v>1010</v>
      </c>
    </row>
    <row r="109" spans="1:2" x14ac:dyDescent="0.25">
      <c r="A109" s="9" t="s">
        <v>192</v>
      </c>
      <c r="B109" s="9">
        <v>5369</v>
      </c>
    </row>
    <row r="110" spans="1:2" x14ac:dyDescent="0.25">
      <c r="A110" s="9" t="s">
        <v>193</v>
      </c>
      <c r="B110" s="9">
        <v>5215</v>
      </c>
    </row>
    <row r="111" spans="1:2" x14ac:dyDescent="0.25">
      <c r="A111" s="9" t="s">
        <v>194</v>
      </c>
      <c r="B111" s="9">
        <v>5010</v>
      </c>
    </row>
    <row r="112" spans="1:2" x14ac:dyDescent="0.25">
      <c r="A112" s="9" t="s">
        <v>195</v>
      </c>
      <c r="B112" s="9">
        <v>1033</v>
      </c>
    </row>
    <row r="113" spans="1:2" x14ac:dyDescent="0.25">
      <c r="A113" s="9" t="s">
        <v>196</v>
      </c>
      <c r="B113" s="9">
        <v>5366</v>
      </c>
    </row>
    <row r="114" spans="1:2" x14ac:dyDescent="0.25">
      <c r="A114" s="9" t="s">
        <v>197</v>
      </c>
      <c r="B114" s="9">
        <v>5281</v>
      </c>
    </row>
    <row r="115" spans="1:2" x14ac:dyDescent="0.25">
      <c r="A115" s="9" t="s">
        <v>198</v>
      </c>
      <c r="B115" s="9">
        <v>1045</v>
      </c>
    </row>
    <row r="116" spans="1:2" x14ac:dyDescent="0.25">
      <c r="A116" s="9" t="s">
        <v>199</v>
      </c>
      <c r="B116" s="9">
        <v>5339</v>
      </c>
    </row>
    <row r="117" spans="1:2" x14ac:dyDescent="0.25">
      <c r="A117" s="9" t="s">
        <v>200</v>
      </c>
      <c r="B117" s="9">
        <v>5291</v>
      </c>
    </row>
    <row r="118" spans="1:2" x14ac:dyDescent="0.25">
      <c r="A118" s="9" t="s">
        <v>201</v>
      </c>
      <c r="B118" s="9">
        <v>1006</v>
      </c>
    </row>
    <row r="119" spans="1:2" x14ac:dyDescent="0.25">
      <c r="A119" s="9" t="s">
        <v>202</v>
      </c>
      <c r="B119" s="9">
        <v>1049</v>
      </c>
    </row>
    <row r="120" spans="1:2" x14ac:dyDescent="0.25">
      <c r="A120" s="9" t="s">
        <v>203</v>
      </c>
      <c r="B120" s="9">
        <v>5064</v>
      </c>
    </row>
    <row r="121" spans="1:2" x14ac:dyDescent="0.25">
      <c r="A121" s="9" t="s">
        <v>204</v>
      </c>
      <c r="B121" s="9">
        <v>5137</v>
      </c>
    </row>
    <row r="122" spans="1:2" x14ac:dyDescent="0.25">
      <c r="A122" s="9" t="s">
        <v>205</v>
      </c>
      <c r="B122" s="9">
        <v>5211</v>
      </c>
    </row>
    <row r="123" spans="1:2" x14ac:dyDescent="0.25">
      <c r="A123" s="9" t="s">
        <v>206</v>
      </c>
      <c r="B123" s="9">
        <v>5241</v>
      </c>
    </row>
    <row r="124" spans="1:2" x14ac:dyDescent="0.25">
      <c r="A124" s="9" t="s">
        <v>207</v>
      </c>
      <c r="B124" s="9">
        <v>5260</v>
      </c>
    </row>
    <row r="125" spans="1:2" x14ac:dyDescent="0.25">
      <c r="A125" s="9" t="s">
        <v>208</v>
      </c>
      <c r="B125" s="9">
        <v>5288</v>
      </c>
    </row>
    <row r="126" spans="1:2" x14ac:dyDescent="0.25">
      <c r="A126" s="9" t="s">
        <v>209</v>
      </c>
      <c r="B126" s="9">
        <v>5306</v>
      </c>
    </row>
    <row r="127" spans="1:2" x14ac:dyDescent="0.25">
      <c r="A127" s="9" t="s">
        <v>210</v>
      </c>
      <c r="B127" s="9">
        <v>5357</v>
      </c>
    </row>
    <row r="128" spans="1:2" x14ac:dyDescent="0.25">
      <c r="A128" s="9" t="s">
        <v>211</v>
      </c>
      <c r="B128" s="9">
        <v>5343</v>
      </c>
    </row>
    <row r="129" spans="1:2" x14ac:dyDescent="0.25">
      <c r="A129" s="9" t="s">
        <v>212</v>
      </c>
      <c r="B129" s="9">
        <v>5312</v>
      </c>
    </row>
    <row r="130" spans="1:2" x14ac:dyDescent="0.25">
      <c r="A130" s="9" t="s">
        <v>213</v>
      </c>
      <c r="B130" s="9">
        <v>5377</v>
      </c>
    </row>
    <row r="131" spans="1:2" x14ac:dyDescent="0.25">
      <c r="A131" s="9" t="s">
        <v>214</v>
      </c>
      <c r="B131" s="9">
        <v>1027</v>
      </c>
    </row>
    <row r="132" spans="1:2" x14ac:dyDescent="0.25">
      <c r="A132" s="9" t="s">
        <v>215</v>
      </c>
      <c r="B132" s="9">
        <v>1013</v>
      </c>
    </row>
    <row r="133" spans="1:2" x14ac:dyDescent="0.25">
      <c r="A133" s="9" t="s">
        <v>216</v>
      </c>
      <c r="B133" s="9">
        <v>1055</v>
      </c>
    </row>
    <row r="134" spans="1:2" x14ac:dyDescent="0.25">
      <c r="A134" s="9" t="s">
        <v>217</v>
      </c>
      <c r="B134" s="9">
        <v>5202</v>
      </c>
    </row>
    <row r="135" spans="1:2" x14ac:dyDescent="0.25">
      <c r="A135" s="9" t="s">
        <v>218</v>
      </c>
      <c r="B135" s="9">
        <v>5285</v>
      </c>
    </row>
    <row r="136" spans="1:2" x14ac:dyDescent="0.25">
      <c r="A136" s="9" t="s">
        <v>79</v>
      </c>
      <c r="B136" s="9">
        <v>5258</v>
      </c>
    </row>
    <row r="137" spans="1:2" x14ac:dyDescent="0.25">
      <c r="A137" s="9" t="s">
        <v>75</v>
      </c>
      <c r="B137" s="9">
        <v>5304</v>
      </c>
    </row>
    <row r="138" spans="1:2" x14ac:dyDescent="0.25">
      <c r="A138" s="9" t="s">
        <v>80</v>
      </c>
      <c r="B138" s="9">
        <v>5352</v>
      </c>
    </row>
    <row r="139" spans="1:2" x14ac:dyDescent="0.25">
      <c r="A139" s="9" t="s">
        <v>81</v>
      </c>
      <c r="B139" s="9">
        <v>5083</v>
      </c>
    </row>
    <row r="140" spans="1:2" x14ac:dyDescent="0.25">
      <c r="A140" s="9" t="s">
        <v>82</v>
      </c>
      <c r="B140" s="9">
        <v>5399</v>
      </c>
    </row>
    <row r="141" spans="1:2" x14ac:dyDescent="0.25">
      <c r="A141" s="9" t="s">
        <v>83</v>
      </c>
      <c r="B141" s="9">
        <v>1029</v>
      </c>
    </row>
    <row r="142" spans="1:2" x14ac:dyDescent="0.25">
      <c r="A142" s="9" t="s">
        <v>84</v>
      </c>
      <c r="B142" s="9">
        <v>5207</v>
      </c>
    </row>
    <row r="143" spans="1:2" x14ac:dyDescent="0.25">
      <c r="A143" s="9" t="s">
        <v>85</v>
      </c>
      <c r="B143" s="9">
        <v>5315</v>
      </c>
    </row>
    <row r="144" spans="1:2" x14ac:dyDescent="0.25">
      <c r="A144" s="9" t="s">
        <v>86</v>
      </c>
      <c r="B144" s="9">
        <v>1041</v>
      </c>
    </row>
    <row r="145" spans="1:2" x14ac:dyDescent="0.25">
      <c r="A145" s="9" t="s">
        <v>219</v>
      </c>
      <c r="B145" s="9">
        <v>1047</v>
      </c>
    </row>
    <row r="146" spans="1:2" x14ac:dyDescent="0.25">
      <c r="A146" s="9" t="s">
        <v>220</v>
      </c>
      <c r="B146" s="9">
        <v>5049</v>
      </c>
    </row>
    <row r="147" spans="1:2" x14ac:dyDescent="0.25">
      <c r="A147" s="9" t="s">
        <v>221</v>
      </c>
      <c r="B147" s="9">
        <v>5174</v>
      </c>
    </row>
    <row r="148" spans="1:2" x14ac:dyDescent="0.25">
      <c r="A148" s="9" t="s">
        <v>222</v>
      </c>
      <c r="B148" s="9">
        <v>5236</v>
      </c>
    </row>
    <row r="149" spans="1:2" x14ac:dyDescent="0.25">
      <c r="A149" s="9" t="s">
        <v>223</v>
      </c>
      <c r="B149" s="9">
        <v>5350</v>
      </c>
    </row>
    <row r="150" spans="1:2" x14ac:dyDescent="0.25">
      <c r="A150" s="9" t="s">
        <v>224</v>
      </c>
      <c r="B150" s="9">
        <v>5351</v>
      </c>
    </row>
    <row r="151" spans="1:2" x14ac:dyDescent="0.25">
      <c r="A151" s="9" t="s">
        <v>225</v>
      </c>
      <c r="B151" s="9">
        <v>5175</v>
      </c>
    </row>
    <row r="152" spans="1:2" x14ac:dyDescent="0.25">
      <c r="A152" s="9" t="s">
        <v>226</v>
      </c>
      <c r="B152" s="9">
        <v>5237</v>
      </c>
    </row>
    <row r="153" spans="1:2" x14ac:dyDescent="0.25">
      <c r="A153" s="9" t="s">
        <v>227</v>
      </c>
      <c r="B153" s="9">
        <v>1035</v>
      </c>
    </row>
    <row r="154" spans="1:2" x14ac:dyDescent="0.25">
      <c r="A154" s="9" t="s">
        <v>228</v>
      </c>
      <c r="B154" s="9">
        <v>1059</v>
      </c>
    </row>
    <row r="155" spans="1:2" x14ac:dyDescent="0.25">
      <c r="A155" s="9" t="s">
        <v>229</v>
      </c>
      <c r="B155" s="9">
        <v>1060</v>
      </c>
    </row>
    <row r="156" spans="1:2" x14ac:dyDescent="0.25">
      <c r="A156" s="9" t="s">
        <v>230</v>
      </c>
      <c r="B156" s="9">
        <v>1061</v>
      </c>
    </row>
    <row r="157" spans="1:2" x14ac:dyDescent="0.25">
      <c r="A157" s="9" t="s">
        <v>231</v>
      </c>
      <c r="B157" s="9">
        <v>5201</v>
      </c>
    </row>
    <row r="158" spans="1:2" x14ac:dyDescent="0.25">
      <c r="A158" s="9" t="s">
        <v>232</v>
      </c>
      <c r="B158" s="9">
        <v>5220</v>
      </c>
    </row>
    <row r="159" spans="1:2" x14ac:dyDescent="0.25">
      <c r="A159" s="9" t="s">
        <v>233</v>
      </c>
      <c r="B159" s="9">
        <v>5186</v>
      </c>
    </row>
    <row r="160" spans="1:2" x14ac:dyDescent="0.25">
      <c r="A160" s="9" t="s">
        <v>234</v>
      </c>
      <c r="B160" s="9">
        <v>5034</v>
      </c>
    </row>
    <row r="161" spans="1:2" x14ac:dyDescent="0.25">
      <c r="A161" s="9" t="s">
        <v>235</v>
      </c>
      <c r="B161" s="9">
        <v>1078</v>
      </c>
    </row>
    <row r="162" spans="1:2" x14ac:dyDescent="0.25">
      <c r="A162" s="9" t="s">
        <v>236</v>
      </c>
      <c r="B162" s="9">
        <v>1079</v>
      </c>
    </row>
    <row r="163" spans="1:2" x14ac:dyDescent="0.25">
      <c r="A163" s="9" t="s">
        <v>237</v>
      </c>
      <c r="B163" s="9">
        <v>1073</v>
      </c>
    </row>
    <row r="164" spans="1:2" x14ac:dyDescent="0.25">
      <c r="A164" s="9" t="s">
        <v>238</v>
      </c>
      <c r="B164" s="9">
        <v>5333</v>
      </c>
    </row>
    <row r="165" spans="1:2" x14ac:dyDescent="0.25">
      <c r="A165" s="9" t="s">
        <v>239</v>
      </c>
      <c r="B165" s="9">
        <v>1031</v>
      </c>
    </row>
    <row r="166" spans="1:2" x14ac:dyDescent="0.25">
      <c r="A166" s="9" t="s">
        <v>240</v>
      </c>
      <c r="B166" s="9">
        <v>5400</v>
      </c>
    </row>
    <row r="167" spans="1:2" x14ac:dyDescent="0.25">
      <c r="A167" s="9" t="s">
        <v>241</v>
      </c>
      <c r="B167" s="9">
        <v>5026</v>
      </c>
    </row>
    <row r="168" spans="1:2" x14ac:dyDescent="0.25">
      <c r="A168" s="9" t="s">
        <v>242</v>
      </c>
      <c r="B168" s="9">
        <v>5273</v>
      </c>
    </row>
    <row r="169" spans="1:2" x14ac:dyDescent="0.25">
      <c r="A169" s="9" t="s">
        <v>4</v>
      </c>
      <c r="B169" s="9">
        <v>5243</v>
      </c>
    </row>
    <row r="170" spans="1:2" x14ac:dyDescent="0.25">
      <c r="A170" s="9" t="s">
        <v>243</v>
      </c>
      <c r="B170" s="9">
        <v>5187</v>
      </c>
    </row>
    <row r="171" spans="1:2" x14ac:dyDescent="0.25">
      <c r="A171" s="9" t="s">
        <v>244</v>
      </c>
      <c r="B171" s="9">
        <v>5375</v>
      </c>
    </row>
    <row r="172" spans="1:2" x14ac:dyDescent="0.25">
      <c r="A172" s="9" t="s">
        <v>245</v>
      </c>
      <c r="B172" s="9">
        <v>5020</v>
      </c>
    </row>
    <row r="173" spans="1:2" x14ac:dyDescent="0.25">
      <c r="A173" s="9" t="s">
        <v>246</v>
      </c>
      <c r="B173" s="9">
        <v>5197</v>
      </c>
    </row>
    <row r="174" spans="1:2" x14ac:dyDescent="0.25">
      <c r="A174" s="9" t="s">
        <v>247</v>
      </c>
      <c r="B174" s="9">
        <v>1051</v>
      </c>
    </row>
    <row r="175" spans="1:2" x14ac:dyDescent="0.25">
      <c r="A175" s="9" t="s">
        <v>248</v>
      </c>
      <c r="B175" s="9">
        <v>5094</v>
      </c>
    </row>
    <row r="176" spans="1:2" x14ac:dyDescent="0.25">
      <c r="A176" s="9" t="s">
        <v>249</v>
      </c>
      <c r="B176" s="9">
        <v>5329</v>
      </c>
    </row>
    <row r="177" spans="1:2" x14ac:dyDescent="0.25">
      <c r="A177" s="9" t="s">
        <v>250</v>
      </c>
      <c r="B177" s="9">
        <v>5106</v>
      </c>
    </row>
    <row r="178" spans="1:2" x14ac:dyDescent="0.25">
      <c r="A178" s="9" t="s">
        <v>251</v>
      </c>
      <c r="B178" s="9">
        <v>5388</v>
      </c>
    </row>
    <row r="179" spans="1:2" x14ac:dyDescent="0.25">
      <c r="A179" s="9" t="s">
        <v>252</v>
      </c>
      <c r="B179" s="9">
        <v>1063</v>
      </c>
    </row>
    <row r="180" spans="1:2" x14ac:dyDescent="0.25">
      <c r="A180" s="9" t="s">
        <v>253</v>
      </c>
      <c r="B180" s="9">
        <v>5014</v>
      </c>
    </row>
    <row r="181" spans="1:2" x14ac:dyDescent="0.25">
      <c r="A181" s="9" t="s">
        <v>254</v>
      </c>
      <c r="B181" s="9">
        <v>1018</v>
      </c>
    </row>
    <row r="182" spans="1:2" x14ac:dyDescent="0.25">
      <c r="A182" s="9" t="s">
        <v>255</v>
      </c>
      <c r="B182" s="9">
        <v>5224</v>
      </c>
    </row>
    <row r="183" spans="1:2" x14ac:dyDescent="0.25">
      <c r="A183" s="9" t="s">
        <v>256</v>
      </c>
      <c r="B183" s="9">
        <v>1017</v>
      </c>
    </row>
    <row r="184" spans="1:2" x14ac:dyDescent="0.25">
      <c r="A184" s="9" t="s">
        <v>257</v>
      </c>
      <c r="B184" s="9">
        <v>1007</v>
      </c>
    </row>
    <row r="185" spans="1:2" x14ac:dyDescent="0.25">
      <c r="A185" s="9" t="s">
        <v>258</v>
      </c>
      <c r="B185" s="9">
        <v>5279</v>
      </c>
    </row>
    <row r="186" spans="1:2" x14ac:dyDescent="0.25">
      <c r="A186" s="9" t="s">
        <v>2</v>
      </c>
      <c r="B186" s="9">
        <v>5266</v>
      </c>
    </row>
    <row r="187" spans="1:2" x14ac:dyDescent="0.25">
      <c r="A187" s="9" t="s">
        <v>259</v>
      </c>
      <c r="B187" s="9">
        <v>5042</v>
      </c>
    </row>
    <row r="188" spans="1:2" x14ac:dyDescent="0.25">
      <c r="A188" s="9" t="s">
        <v>260</v>
      </c>
      <c r="B188" s="9">
        <v>1043</v>
      </c>
    </row>
    <row r="189" spans="1:2" x14ac:dyDescent="0.25">
      <c r="A189" s="9" t="s">
        <v>261</v>
      </c>
      <c r="B189" s="9">
        <v>5403</v>
      </c>
    </row>
    <row r="190" spans="1:2" x14ac:dyDescent="0.25">
      <c r="A190" s="9" t="s">
        <v>262</v>
      </c>
      <c r="B190" s="9">
        <v>5402</v>
      </c>
    </row>
    <row r="191" spans="1:2" x14ac:dyDescent="0.25">
      <c r="A191" s="9" t="s">
        <v>263</v>
      </c>
      <c r="B191" s="9">
        <v>1064</v>
      </c>
    </row>
    <row r="192" spans="1:2" x14ac:dyDescent="0.25">
      <c r="A192" s="9" t="s">
        <v>264</v>
      </c>
      <c r="B192" s="9">
        <v>5016</v>
      </c>
    </row>
    <row r="193" spans="1:2" x14ac:dyDescent="0.25">
      <c r="A193" s="9" t="s">
        <v>265</v>
      </c>
      <c r="B193" s="9">
        <v>1002</v>
      </c>
    </row>
    <row r="194" spans="1:2" x14ac:dyDescent="0.25">
      <c r="A194" s="9" t="s">
        <v>266</v>
      </c>
      <c r="B194" s="9">
        <v>5372</v>
      </c>
    </row>
    <row r="195" spans="1:2" x14ac:dyDescent="0.25">
      <c r="A195" s="9" t="s">
        <v>267</v>
      </c>
      <c r="B195" s="9">
        <v>1023</v>
      </c>
    </row>
    <row r="196" spans="1:2" x14ac:dyDescent="0.25">
      <c r="A196" s="9" t="s">
        <v>268</v>
      </c>
      <c r="B196" s="9">
        <v>1021</v>
      </c>
    </row>
    <row r="197" spans="1:2" x14ac:dyDescent="0.25">
      <c r="A197" s="9" t="s">
        <v>269</v>
      </c>
      <c r="B197" s="9">
        <v>1020</v>
      </c>
    </row>
    <row r="198" spans="1:2" x14ac:dyDescent="0.25">
      <c r="A198" s="9" t="s">
        <v>270</v>
      </c>
      <c r="B198" s="9">
        <v>1074</v>
      </c>
    </row>
    <row r="199" spans="1:2" x14ac:dyDescent="0.25">
      <c r="A199" s="9" t="s">
        <v>271</v>
      </c>
      <c r="B199" s="9">
        <v>1014</v>
      </c>
    </row>
    <row r="200" spans="1:2" x14ac:dyDescent="0.25">
      <c r="A200" s="9" t="s">
        <v>272</v>
      </c>
      <c r="B200" s="9">
        <v>1016</v>
      </c>
    </row>
    <row r="201" spans="1:2" x14ac:dyDescent="0.25">
      <c r="A201" s="9" t="s">
        <v>273</v>
      </c>
      <c r="B201" s="9">
        <v>5362</v>
      </c>
    </row>
    <row r="202" spans="1:2" x14ac:dyDescent="0.25">
      <c r="A202" s="9" t="s">
        <v>274</v>
      </c>
      <c r="B202" s="9">
        <v>5363</v>
      </c>
    </row>
    <row r="203" spans="1:2" x14ac:dyDescent="0.25">
      <c r="A203" s="9" t="s">
        <v>275</v>
      </c>
      <c r="B203" s="9">
        <v>5328</v>
      </c>
    </row>
    <row r="204" spans="1:2" x14ac:dyDescent="0.25">
      <c r="A204" s="9" t="s">
        <v>276</v>
      </c>
      <c r="B204" s="9">
        <v>5177</v>
      </c>
    </row>
    <row r="205" spans="1:2" x14ac:dyDescent="0.25">
      <c r="A205" s="9" t="s">
        <v>277</v>
      </c>
      <c r="B205" s="9">
        <v>5172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233E3B-E2CD-4261-AB57-EE92208F68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 Non-Foil</vt:lpstr>
      <vt:lpstr>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Robert's PC</cp:lastModifiedBy>
  <dcterms:created xsi:type="dcterms:W3CDTF">2015-06-05T00:05:08Z</dcterms:created>
  <dcterms:modified xsi:type="dcterms:W3CDTF">2019-01-01T23:22:23Z</dcterms:modified>
</cp:coreProperties>
</file>